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0b1f8aad154a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이용안내" sheetId="1" r:id="Ra3371a963ebb4590"/>
    <x:sheet xmlns:r="http://schemas.openxmlformats.org/officeDocument/2006/relationships" name="업체현황" sheetId="2" r:id="R45310121117d4a2b"/>
    <x:sheet xmlns:r="http://schemas.openxmlformats.org/officeDocument/2006/relationships" name="연도별실적" sheetId="3" r:id="R6b4c8ec9aeb14090"/>
    <x:sheet xmlns:r="http://schemas.openxmlformats.org/officeDocument/2006/relationships" name="점검이력" sheetId="4" r:id="R7441c0fc83364723"/>
    <x:sheet xmlns:r="http://schemas.openxmlformats.org/officeDocument/2006/relationships" name="위험도평가" sheetId="5" r:id="R0b2ec3f5813f498a"/>
    <x:sheet xmlns:r="http://schemas.openxmlformats.org/officeDocument/2006/relationships" name="대시보드" sheetId="6" r:id="R82b9c9f002b24446"/>
    <x:sheet xmlns:r="http://schemas.openxmlformats.org/officeDocument/2006/relationships" name="코드표" sheetId="7" r:id="Rdfeeca87ea5843bd"/>
    <x:sheet xmlns:r="http://schemas.openxmlformats.org/officeDocument/2006/relationships" name="주소기준_안내" sheetId="8" r:id="R5ef13067318b4f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b/>
      <x:sz val="11"/>
      <x:color rgb="FF985C12"/>
      <x:name val="Carlito"/>
    </x:font>
    <x:font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65B"/>
      </x:patternFill>
    </x:fill>
    <x:fill>
      <x:patternFill patternType="solid">
        <x:fgColor rgb="FFE9F3F9"/>
      </x:patternFill>
    </x:fill>
    <x:fill>
      <x:patternFill patternType="solid">
        <x:fgColor rgb="FF176A9B"/>
      </x:patternFill>
    </x:fill>
    <x:fill>
      <x:patternFill patternType="solid">
        <x:fgColor rgb="FFFFF3DF"/>
      </x:patternFill>
    </x:fill>
    <x:fill>
      <x:patternFill patternType="solid">
        <x:fgColor rgb="FF123456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201" fontId="1" fillId="4" borderId="0" xfId="0" applyNumberFormat="1" applyFont="1" applyFill="1" applyBorder="1"/>
    <x:xf numFmtId="201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>
          <x:bgColor rgb="FFFEE2E2"/>
        </x:patternFill>
      </x:fill>
    </x:dxf>
    <x:dxf>
      <x:font>
        <x:b/>
        <x:color rgb="FF9A1919"/>
      </x:font>
      <x:fill>
        <x:patternFill>
          <x:bgColor rgb="FFFCE8E6"/>
        </x:patternFill>
      </x:fill>
    </x:dxf>
    <x:dxf>
      <x:font>
        <x:color rgb="FF8B5E05"/>
      </x:font>
      <x:fill>
        <x:patternFill>
          <x:bgColor rgb="FFFFF0CA"/>
        </x:patternFill>
      </x:fill>
    </x:dxf>
    <x:dxf>
      <x:font>
        <x:color rgb="FF146C3E"/>
      </x:font>
      <x:fill>
        <x:patternFill>
          <x:bgColor rgb="FFE7F5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ff6022c4d44a70" /><Relationship Type="http://schemas.openxmlformats.org/officeDocument/2006/relationships/theme" Target="/xl/theme/theme1.xml" Id="R6b3953be44b5462a" /><Relationship Type="http://schemas.openxmlformats.org/officeDocument/2006/relationships/sharedStrings" Target="/xl/sharedStrings.xml" Id="Rf976eff7fd724d23" /><Relationship Type="http://schemas.openxmlformats.org/officeDocument/2006/relationships/worksheet" Target="/xl/worksheets/sheet1.xml" Id="Ra3371a963ebb4590" /><Relationship Type="http://schemas.openxmlformats.org/officeDocument/2006/relationships/worksheet" Target="/xl/worksheets/sheet2.xml" Id="R45310121117d4a2b" /><Relationship Type="http://schemas.openxmlformats.org/officeDocument/2006/relationships/worksheet" Target="/xl/worksheets/sheet3.xml" Id="R6b4c8ec9aeb14090" /><Relationship Type="http://schemas.openxmlformats.org/officeDocument/2006/relationships/worksheet" Target="/xl/worksheets/sheet4.xml" Id="R7441c0fc83364723" /><Relationship Type="http://schemas.openxmlformats.org/officeDocument/2006/relationships/worksheet" Target="/xl/worksheets/sheet5.xml" Id="R0b2ec3f5813f498a" /><Relationship Type="http://schemas.openxmlformats.org/officeDocument/2006/relationships/worksheet" Target="/xl/worksheets/sheet6.xml" Id="R82b9c9f002b24446" /><Relationship Type="http://schemas.openxmlformats.org/officeDocument/2006/relationships/worksheet" Target="/xl/worksheets/sheet7.xml" Id="Rdfeeca87ea5843bd" /><Relationship Type="http://schemas.openxmlformats.org/officeDocument/2006/relationships/worksheet" Target="/xl/worksheets/sheet8.xml" Id="R5ef13067318b4f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5" hidden="0" customWidth="1"/>
  </x:cols>
  <x:sheetData>
    <x:row r="1" ht="35" customHeight="1">
      <x:c r="A1" s="3" t="str">
        <x:v>안산시 환전업자 GIS 위험관리 시제품 — 데이터 사용 안내</x:v>
      </x:c>
      <x:c r="B1" s="3" t="str"/>
    </x:row>
    <x:row r="2" ht="30" customHeight="1">
      <x:c r="A2" s="13" t="str">
        <x:v>데이터 성격</x:v>
      </x:c>
      <x:c r="B2" t="str">
        <x:v>100% 합성·가상 업체. 상호, 대표자, 실적, 검사이력 모두 실제 자료 아님.</x:v>
      </x:c>
    </x:row>
    <x:row r="3" ht="30" customHeight="1">
      <x:c r="A3" s="13" t="str">
        <x:v>지역 범위</x:v>
      </x:c>
      <x:c r="B3" t="str">
        <x:v>경기도 안산시 단원구 58개 / 상록구 42개</x:v>
      </x:c>
    </x:row>
    <x:row r="4" ht="30" customHeight="1">
      <x:c r="A4" s="13" t="str">
        <x:v>주소 정확도</x:v>
      </x:c>
      <x:c r="B4" t="str">
        <x:v>실제 도로명 일부를 조합한 미검증 시험용 주소. 존재하는 건물주소 보장 안 됨.</x:v>
      </x:c>
    </x:row>
    <x:row r="5" ht="30" customHeight="1">
      <x:c r="A5" s="13" t="str">
        <x:v>지도 연동</x:v>
      </x:c>
      <x:c r="B5" t="str">
        <x:v>지오코딩 상태가 '미검증'인 행은 카카오 주소 변환 후 위도/경도를 채워야 함.</x:v>
      </x:c>
    </x:row>
    <x:row r="6" ht="30" customHeight="1">
      <x:c r="A6" s="13" t="str">
        <x:v>주의</x:v>
      </x:c>
      <x:c r="B6" t="str">
        <x:v>주소가 변환되지 않으면 지도 아이콘을 표시하지 말고 오류 목록에 남길 것.</x:v>
      </x:c>
    </x:row>
    <x:row r="7" ht="30" customHeight="1">
      <x:c r="A7" s="13" t="str">
        <x:v>업체ID</x:v>
      </x:c>
      <x:c r="B7" t="str">
        <x:v>각 시트 간 연결 키. 임의 변경 금지. Supabase UNIQUE 키로 사용 가능.</x:v>
      </x:c>
    </x:row>
    <x:row r="8" ht="30" customHeight="1">
      <x:c r="A8" s="13" t="str">
        <x:v>금액 단위</x:v>
      </x:c>
      <x:c r="B8" t="str">
        <x:v>만원(KRW). 실적 값은 완전 랜덤 합성.</x:v>
      </x:c>
    </x:row>
    <x:row r="9" ht="30" customHeight="1">
      <x:c r="A9" s="13" t="str">
        <x:v>2026년 실적</x:v>
      </x:c>
      <x:c r="B9" t="str">
        <x:v>1~3분기 누계(가상)이며 2025년 연간과 단순 증감 비교 금지.</x:v>
      </x:c>
    </x:row>
    <x:row r="10" ht="30" customHeight="1">
      <x:c r="A10" s="13" t="str">
        <x:v>위험점수</x:v>
      </x:c>
      <x:c r="B10" t="str">
        <x:v>실적변동 30 + 점검경과 20 + 위반이력 30 + 휴업여부 20 (최대 100)</x:v>
      </x:c>
    </x:row>
    <x:row r="11" ht="30" customHeight="1">
      <x:c r="A11" s="13" t="str">
        <x:v>고위험</x:v>
      </x:c>
      <x:c r="B11" t="str">
        <x:v>70점 이상 / 주의 40~69점 / 일반 0~39점. 업무용 확정 기준 아님.</x:v>
      </x:c>
    </x:row>
    <x:row r="12" ht="30" customHeight="1">
      <x:c r="A12" s="13" t="str">
        <x:v>평가기준일</x:v>
      </x:c>
      <x:c r="B12" t="str">
        <x:v>2026-10-23. 점검경과 점수는 이 날짜 기준으로 계산.</x:v>
      </x:c>
    </x:row>
    <x:row r="13" ht="30" customHeight="1">
      <x:c r="A13" s="13" t="str">
        <x:v>개인정보</x:v>
      </x:c>
      <x:c r="B13" t="str">
        <x:v>실제 업무자료를 GitHub 저장소에 올리지 말 것. 외부 Supabase는 기관 승인 후 사용.</x:v>
      </x:c>
    </x:row>
    <x:row r="14" ht="30" customHeight="1">
      <x:c r="A14" s="13" t="str">
        <x:v>공동사용</x:v>
      </x:c>
      <x:c r="B14" t="str">
        <x:v>GitHub Pages는 화면 제공, Supabase Auth/RLS는 접근권한을 따로 설계.</x:v>
      </x:c>
    </x:row>
    <x:row r="15" ht="30" customHeight="1">
      <x:c r="A15" s="13" t="str">
        <x:v>테스트 절차</x:v>
      </x:c>
      <x:c r="B15" t="str">
        <x:v>주소 지오코딩 → 실패 주소 정정 → 좌표 저장 → 아이콘 지도 표시.</x:v>
      </x:c>
    </x:row>
    <x:row r="16" ht="30" customHeight="1">
      <x:c r="A16" s="13" t="str">
        <x:v>운영 전 검토</x:v>
      </x:c>
      <x:c r="B16" t="str">
        <x:v>기관망 접속허용·지도 API·외부클라우드·개인정보·접근기록/보안 검토 필요.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5" hidden="0" customWidth="1"/>
    <x:col min="4" max="4" width="12" hidden="0" customWidth="1"/>
    <x:col min="5" max="5" width="13" hidden="0" customWidth="1"/>
    <x:col min="6" max="6" width="12" hidden="0" customWidth="1"/>
    <x:col min="7" max="7" width="42" hidden="0" customWidth="1"/>
    <x:col min="8" max="8" width="15" hidden="0" customWidth="1"/>
    <x:col min="9" max="9" width="15" hidden="0" customWidth="1"/>
    <x:col min="10" max="10" width="17" hidden="0" customWidth="1"/>
    <x:col min="11" max="11" width="16" hidden="0" customWidth="1"/>
    <x:col min="12" max="12" width="12" hidden="0" customWidth="1"/>
    <x:col min="13" max="13" width="15" hidden="0" customWidth="1"/>
    <x:col min="14" max="14" width="17" hidden="0" customWidth="1"/>
    <x:col min="15" max="15" width="18" hidden="0" customWidth="1"/>
    <x:col min="16" max="16" width="17" hidden="0" customWidth="1"/>
    <x:col min="17" max="17" width="14" hidden="0" customWidth="1"/>
    <x:col min="18" max="18" width="28" hidden="0" customWidth="1"/>
  </x:cols>
  <x:sheetData>
    <x:row r="1" ht="31" customHeight="1">
      <x:c r="A1" s="4" t="str">
        <x:v>업체ID</x:v>
      </x:c>
      <x:c r="B1" s="4" t="str">
        <x:v>상호(가상)</x:v>
      </x:c>
      <x:c r="C1" s="4" t="str">
        <x:v>대표자(가상)</x:v>
      </x:c>
      <x:c r="D1" s="4" t="str">
        <x:v>시도</x:v>
      </x:c>
      <x:c r="E1" s="4" t="str">
        <x:v>시군구</x:v>
      </x:c>
      <x:c r="F1" s="4" t="str">
        <x:v>구</x:v>
      </x:c>
      <x:c r="G1" s="4" t="str">
        <x:v>도로명주소(미검증)</x:v>
      </x:c>
      <x:c r="H1" s="4" t="str">
        <x:v>위도</x:v>
      </x:c>
      <x:c r="I1" s="4" t="str">
        <x:v>경도</x:v>
      </x:c>
      <x:c r="J1" s="4" t="str">
        <x:v>지오코딩상태</x:v>
      </x:c>
      <x:c r="K1" s="4" t="str">
        <x:v>등록일(가상)</x:v>
      </x:c>
      <x:c r="L1" s="4" t="str">
        <x:v>영업상태</x:v>
      </x:c>
      <x:c r="M1" s="4" t="str">
        <x:v>업체유형(가상)</x:v>
      </x:c>
      <x:c r="N1" s="4" t="str">
        <x:v>입지구분(가상)</x:v>
      </x:c>
      <x:c r="O1" s="4" t="str">
        <x:v>최종점검일(가상)</x:v>
      </x:c>
      <x:c r="P1" s="4" t="str">
        <x:v>위반이력(가상)</x:v>
      </x:c>
      <x:c r="Q1" s="4" t="str">
        <x:v>관리담당</x:v>
      </x:c>
      <x:c r="R1" s="4" t="str">
        <x:v>비고</x:v>
      </x:c>
    </x:row>
    <x:row r="2" ht="21" customHeight="1">
      <x:c r="A2" t="str">
        <x:v>EXA-0001</x:v>
      </x:c>
      <x:c r="B2" t="str">
        <x:v>삼일플러스익스체인지 001호</x:v>
      </x:c>
      <x:c r="C2" t="str">
        <x:v>오현희</x:v>
      </x:c>
      <x:c r="D2" t="str">
        <x:v>경기도</x:v>
      </x:c>
      <x:c r="E2" t="str">
        <x:v>안산시</x:v>
      </x:c>
      <x:c r="F2" t="str">
        <x:v>단원구</x:v>
      </x:c>
      <x:c r="G2" t="str">
        <x:v>경기도 안산시 단원구 선부로 273</x:v>
      </x:c>
      <x:c r="H2"/>
      <x:c r="I2"/>
      <x:c r="J2" t="str">
        <x:v>공식주소기반(미변환)</x:v>
      </x:c>
      <x:c r="K2" t="str">
        <x:v>2019-03-26</x:v>
      </x:c>
      <x:c r="L2" t="str">
        <x:v>영업중</x:v>
      </x:c>
      <x:c r="M2" t="str">
        <x:v>개인</x:v>
      </x:c>
      <x:c r="N2" t="str">
        <x:v>일반</x:v>
      </x:c>
      <x:c r="O2" t="str">
        <x:v>2025-06-21</x:v>
      </x:c>
      <x:c r="P2" t="str">
        <x:v>없음</x:v>
      </x:c>
      <x:c r="Q2" t="str">
        <x:v>담당4</x:v>
      </x:c>
      <x:c r="R2" t="str">
        <x:v>가상 데이터 / 실제 업체 아님</x:v>
      </x:c>
    </x:row>
    <x:row r="3" ht="21" customHeight="1">
      <x:c r="A3" t="str">
        <x:v>EXA-0002</x:v>
      </x:c>
      <x:c r="B3" t="str">
        <x:v>다정스타환전소 002호</x:v>
      </x:c>
      <x:c r="C3" t="str">
        <x:v>임영준</x:v>
      </x:c>
      <x:c r="D3" t="str">
        <x:v>경기도</x:v>
      </x:c>
      <x:c r="E3" t="str">
        <x:v>안산시</x:v>
      </x:c>
      <x:c r="F3" t="str">
        <x:v>단원구</x:v>
      </x:c>
      <x:c r="G3" t="str">
        <x:v>경기도 안산시 단원구 초지동로 67</x:v>
      </x:c>
      <x:c r="H3"/>
      <x:c r="I3"/>
      <x:c r="J3" t="str">
        <x:v>공식주소기반(미변환)</x:v>
      </x:c>
      <x:c r="K3" t="str">
        <x:v>2017-05-22</x:v>
      </x:c>
      <x:c r="L3" t="str">
        <x:v>영업중</x:v>
      </x:c>
      <x:c r="M3" t="str">
        <x:v>개인</x:v>
      </x:c>
      <x:c r="N3" t="str">
        <x:v>상업지역</x:v>
      </x:c>
      <x:c r="O3" t="str">
        <x:v>2023-12-04</x:v>
      </x:c>
      <x:c r="P3" t="str">
        <x:v>없음</x:v>
      </x:c>
      <x:c r="Q3" t="str">
        <x:v>담당2</x:v>
      </x:c>
      <x:c r="R3" t="str">
        <x:v>가상 데이터 / 실제 업체 아님</x:v>
      </x:c>
    </x:row>
    <x:row r="4" ht="21" customHeight="1">
      <x:c r="A4" t="str">
        <x:v>EXA-0003</x:v>
      </x:c>
      <x:c r="B4" t="str">
        <x:v>세명프라임외환서비스 003호</x:v>
      </x:c>
      <x:c r="C4" t="str">
        <x:v>오민지</x:v>
      </x:c>
      <x:c r="D4" t="str">
        <x:v>경기도</x:v>
      </x:c>
      <x:c r="E4" t="str">
        <x:v>안산시</x:v>
      </x:c>
      <x:c r="F4" t="str">
        <x:v>상록구</x:v>
      </x:c>
      <x:c r="G4" t="str">
        <x:v>경기도 안산시 상록구 석호로 171</x:v>
      </x:c>
      <x:c r="H4"/>
      <x:c r="I4"/>
      <x:c r="J4" t="str">
        <x:v>공식주소기반(미변환)</x:v>
      </x:c>
      <x:c r="K4" t="str">
        <x:v>2014-05-10</x:v>
      </x:c>
      <x:c r="L4" t="str">
        <x:v>영업중</x:v>
      </x:c>
      <x:c r="M4" t="str">
        <x:v>법인</x:v>
      </x:c>
      <x:c r="N4" t="str">
        <x:v>관광지 인접</x:v>
      </x:c>
      <x:c r="O4" t="str">
        <x:v>2023-07-19</x:v>
      </x:c>
      <x:c r="P4" t="str">
        <x:v>경미</x:v>
      </x:c>
      <x:c r="Q4" t="str">
        <x:v>담당1</x:v>
      </x:c>
      <x:c r="R4" t="str">
        <x:v>가상 데이터 / 실제 업체 아님</x:v>
      </x:c>
    </x:row>
    <x:row r="5" ht="21" customHeight="1">
      <x:c r="A5" t="str">
        <x:v>EXA-0004</x:v>
      </x:c>
      <x:c r="B5" t="str">
        <x:v>태양환전소 004호</x:v>
      </x:c>
      <x:c r="C5" t="str">
        <x:v>한도진</x:v>
      </x:c>
      <x:c r="D5" t="str">
        <x:v>경기도</x:v>
      </x:c>
      <x:c r="E5" t="str">
        <x:v>안산시</x:v>
      </x:c>
      <x:c r="F5" t="str">
        <x:v>상록구</x:v>
      </x:c>
      <x:c r="G5" t="str">
        <x:v>경기도 안산시 상록구 시낭북로 4</x:v>
      </x:c>
      <x:c r="H5"/>
      <x:c r="I5"/>
      <x:c r="J5" t="str">
        <x:v>공식주소기반(미변환)</x:v>
      </x:c>
      <x:c r="K5" t="str">
        <x:v>2017-04-22</x:v>
      </x:c>
      <x:c r="L5" t="str">
        <x:v>영업중</x:v>
      </x:c>
      <x:c r="M5" t="str">
        <x:v>개인</x:v>
      </x:c>
      <x:c r="N5" t="str">
        <x:v>관광지 인접</x:v>
      </x:c>
      <x:c r="O5" t="str">
        <x:v>2026-08-08</x:v>
      </x:c>
      <x:c r="P5" t="str">
        <x:v>없음</x:v>
      </x:c>
      <x:c r="Q5" t="str">
        <x:v>담당2</x:v>
      </x:c>
      <x:c r="R5" t="str">
        <x:v>가상 데이터 / 실제 업체 아님</x:v>
      </x:c>
    </x:row>
    <x:row r="6" ht="21" customHeight="1">
      <x:c r="A6" t="str">
        <x:v>EXA-0005</x:v>
      </x:c>
      <x:c r="B6" t="str">
        <x:v>중앙스타환전 005호</x:v>
      </x:c>
      <x:c r="C6" t="str">
        <x:v>조서석</x:v>
      </x:c>
      <x:c r="D6" t="str">
        <x:v>경기도</x:v>
      </x:c>
      <x:c r="E6" t="str">
        <x:v>안산시</x:v>
      </x:c>
      <x:c r="F6" t="str">
        <x:v>단원구</x:v>
      </x:c>
      <x:c r="G6" t="str">
        <x:v>경기도 안산시 단원구 광덕2로 125</x:v>
      </x:c>
      <x:c r="H6"/>
      <x:c r="I6"/>
      <x:c r="J6" t="str">
        <x:v>공식주소기반(미변환)</x:v>
      </x:c>
      <x:c r="K6" t="str">
        <x:v>2021-07-23</x:v>
      </x:c>
      <x:c r="L6" t="str">
        <x:v>영업중</x:v>
      </x:c>
      <x:c r="M6" t="str">
        <x:v>일반</x:v>
      </x:c>
      <x:c r="N6" t="str">
        <x:v>상업지역</x:v>
      </x:c>
      <x:c r="O6" t="str">
        <x:v>2024-04-25</x:v>
      </x:c>
      <x:c r="P6" t="str">
        <x:v>경미</x:v>
      </x:c>
      <x:c r="Q6" t="str">
        <x:v>담당4</x:v>
      </x:c>
      <x:c r="R6" t="str">
        <x:v>가상 데이터 / 실제 업체 아님</x:v>
      </x:c>
    </x:row>
    <x:row r="7" ht="21" customHeight="1">
      <x:c r="A7" t="str">
        <x:v>EXA-0006</x:v>
      </x:c>
      <x:c r="B7" t="str">
        <x:v>동서스타환전 006호</x:v>
      </x:c>
      <x:c r="C7" t="str">
        <x:v>홍우준</x:v>
      </x:c>
      <x:c r="D7" t="str">
        <x:v>경기도</x:v>
      </x:c>
      <x:c r="E7" t="str">
        <x:v>안산시</x:v>
      </x:c>
      <x:c r="F7" t="str">
        <x:v>단원구</x:v>
      </x:c>
      <x:c r="G7" t="str">
        <x:v>경기도 안산시 단원구 선삼로 47</x:v>
      </x:c>
      <x:c r="H7"/>
      <x:c r="I7"/>
      <x:c r="J7" t="str">
        <x:v>공식주소기반(미변환)</x:v>
      </x:c>
      <x:c r="K7" t="str">
        <x:v>2020-06-06</x:v>
      </x:c>
      <x:c r="L7" t="str">
        <x:v>영업중</x:v>
      </x:c>
      <x:c r="M7" t="str">
        <x:v>개인</x:v>
      </x:c>
      <x:c r="N7" t="str">
        <x:v>관광지 인접</x:v>
      </x:c>
      <x:c r="O7" t="str">
        <x:v>2026-08-23</x:v>
      </x:c>
      <x:c r="P7" t="str">
        <x:v>없음</x:v>
      </x:c>
      <x:c r="Q7" t="str">
        <x:v>담당1</x:v>
      </x:c>
      <x:c r="R7" t="str">
        <x:v>가상 데이터 / 실제 업체 아님</x:v>
      </x:c>
    </x:row>
    <x:row r="8" ht="21" customHeight="1">
      <x:c r="A8" t="str">
        <x:v>EXA-0007</x:v>
      </x:c>
      <x:c r="B8" t="str">
        <x:v>국제프라임환전 007호</x:v>
      </x:c>
      <x:c r="C8" t="str">
        <x:v>박준진</x:v>
      </x:c>
      <x:c r="D8" t="str">
        <x:v>경기도</x:v>
      </x:c>
      <x:c r="E8" t="str">
        <x:v>안산시</x:v>
      </x:c>
      <x:c r="F8" t="str">
        <x:v>상록구</x:v>
      </x:c>
      <x:c r="G8" t="str">
        <x:v>경기도 안산시 상록구 샘골로 16</x:v>
      </x:c>
      <x:c r="H8"/>
      <x:c r="I8"/>
      <x:c r="J8" t="str">
        <x:v>공식주소기반(미변환)</x:v>
      </x:c>
      <x:c r="K8" t="str">
        <x:v>2014-08-03</x:v>
      </x:c>
      <x:c r="L8" t="str">
        <x:v>영업중</x:v>
      </x:c>
      <x:c r="M8" t="str">
        <x:v>일반</x:v>
      </x:c>
      <x:c r="N8" t="str">
        <x:v>관광지 인접</x:v>
      </x:c>
      <x:c r="O8" t="str">
        <x:v>2024-12-01</x:v>
      </x:c>
      <x:c r="P8" t="str">
        <x:v>없음</x:v>
      </x:c>
      <x:c r="Q8" t="str">
        <x:v>담당3</x:v>
      </x:c>
      <x:c r="R8" t="str">
        <x:v>가상 데이터 / 실제 업체 아님</x:v>
      </x:c>
    </x:row>
    <x:row r="9" ht="21" customHeight="1">
      <x:c r="A9" t="str">
        <x:v>EXA-0008</x:v>
      </x:c>
      <x:c r="B9" t="str">
        <x:v>다정프라임환전 008호</x:v>
      </x:c>
      <x:c r="C9" t="str">
        <x:v>이예아</x:v>
      </x:c>
      <x:c r="D9" t="str">
        <x:v>경기도</x:v>
      </x:c>
      <x:c r="E9" t="str">
        <x:v>안산시</x:v>
      </x:c>
      <x:c r="F9" t="str">
        <x:v>상록구</x:v>
      </x:c>
      <x:c r="G9" t="str">
        <x:v>경기도 안산시 상록구 장하로 315</x:v>
      </x:c>
      <x:c r="H9"/>
      <x:c r="I9"/>
      <x:c r="J9" t="str">
        <x:v>공식주소기반(미변환)</x:v>
      </x:c>
      <x:c r="K9" t="str">
        <x:v>2014-09-17</x:v>
      </x:c>
      <x:c r="L9" t="str">
        <x:v>영업중</x:v>
      </x:c>
      <x:c r="M9" t="str">
        <x:v>개인</x:v>
      </x:c>
      <x:c r="N9" t="str">
        <x:v>주거지역</x:v>
      </x:c>
      <x:c r="O9" t="str">
        <x:v>2023-06-01</x:v>
      </x:c>
      <x:c r="P9" t="str">
        <x:v>없음</x:v>
      </x:c>
      <x:c r="Q9" t="str">
        <x:v>담당3</x:v>
      </x:c>
      <x:c r="R9" t="str">
        <x:v>가상 데이터 / 실제 업체 아님</x:v>
      </x:c>
    </x:row>
    <x:row r="10" ht="21" customHeight="1">
      <x:c r="A10" t="str">
        <x:v>EXA-0009</x:v>
      </x:c>
      <x:c r="B10" t="str">
        <x:v>한빛외환서비스 009호</x:v>
      </x:c>
      <x:c r="C10" t="str">
        <x:v>신현우</x:v>
      </x:c>
      <x:c r="D10" t="str">
        <x:v>경기도</x:v>
      </x:c>
      <x:c r="E10" t="str">
        <x:v>안산시</x:v>
      </x:c>
      <x:c r="F10" t="str">
        <x:v>단원구</x:v>
      </x:c>
      <x:c r="G10" t="str">
        <x:v>경기도 안산시 단원구 삼일로 42-7</x:v>
      </x:c>
      <x:c r="H10"/>
      <x:c r="I10"/>
      <x:c r="J10" t="str">
        <x:v>공식주소기반(미변환)</x:v>
      </x:c>
      <x:c r="K10" t="str">
        <x:v>2020-12-03</x:v>
      </x:c>
      <x:c r="L10" t="str">
        <x:v>영업중</x:v>
      </x:c>
      <x:c r="M10" t="str">
        <x:v>개인</x:v>
      </x:c>
      <x:c r="N10" t="str">
        <x:v>관광지 인접</x:v>
      </x:c>
      <x:c r="O10" t="str">
        <x:v>2024-10-15</x:v>
      </x:c>
      <x:c r="P10" t="str">
        <x:v>없음</x:v>
      </x:c>
      <x:c r="Q10" t="str">
        <x:v>담당3</x:v>
      </x:c>
      <x:c r="R10" t="str">
        <x:v>가상 데이터 / 실제 업체 아님</x:v>
      </x:c>
    </x:row>
    <x:row r="11" ht="21" customHeight="1">
      <x:c r="A11" t="str">
        <x:v>EXA-0010</x:v>
      </x:c>
      <x:c r="B11" t="str">
        <x:v>한울원익스체인지 010호</x:v>
      </x:c>
      <x:c r="C11" t="str">
        <x:v>최은현</x:v>
      </x:c>
      <x:c r="D11" t="str">
        <x:v>경기도</x:v>
      </x:c>
      <x:c r="E11" t="str">
        <x:v>안산시</x:v>
      </x:c>
      <x:c r="F11" t="str">
        <x:v>상록구</x:v>
      </x:c>
      <x:c r="G11" t="str">
        <x:v>경기도 안산시 상록구 이동로 46</x:v>
      </x:c>
      <x:c r="H11"/>
      <x:c r="I11"/>
      <x:c r="J11" t="str">
        <x:v>공식주소기반(미변환)</x:v>
      </x:c>
      <x:c r="K11" t="str">
        <x:v>2024-06-17</x:v>
      </x:c>
      <x:c r="L11" t="str">
        <x:v>영업중</x:v>
      </x:c>
      <x:c r="M11" t="str">
        <x:v>법인</x:v>
      </x:c>
      <x:c r="N11" t="str">
        <x:v>주거지역</x:v>
      </x:c>
      <x:c r="O11" t="str">
        <x:v>2023-12-02</x:v>
      </x:c>
      <x:c r="P11" t="str">
        <x:v>없음</x:v>
      </x:c>
      <x:c r="Q11" t="str">
        <x:v>담당2</x:v>
      </x:c>
      <x:c r="R11" t="str">
        <x:v>가상 데이터 / 실제 업체 아님</x:v>
      </x:c>
    </x:row>
    <x:row r="12" ht="21" customHeight="1">
      <x:c r="A12" t="str">
        <x:v>EXA-0011</x:v>
      </x:c>
      <x:c r="B12" t="str">
        <x:v>삼일스타외환서비스 011호</x:v>
      </x:c>
      <x:c r="C12" t="str">
        <x:v>황서진</x:v>
      </x:c>
      <x:c r="D12" t="str">
        <x:v>경기도</x:v>
      </x:c>
      <x:c r="E12" t="str">
        <x:v>안산시</x:v>
      </x:c>
      <x:c r="F12" t="str">
        <x:v>상록구</x:v>
      </x:c>
      <x:c r="G12" t="str">
        <x:v>경기도 안산시 상록구 성호로 326</x:v>
      </x:c>
      <x:c r="H12"/>
      <x:c r="I12"/>
      <x:c r="J12" t="str">
        <x:v>공식주소기반(미변환)</x:v>
      </x:c>
      <x:c r="K12" t="str">
        <x:v>2019-10-29</x:v>
      </x:c>
      <x:c r="L12" t="str">
        <x:v>영업중</x:v>
      </x:c>
      <x:c r="M12" t="str">
        <x:v>개인</x:v>
      </x:c>
      <x:c r="N12" t="str">
        <x:v>관광지 인접</x:v>
      </x:c>
      <x:c r="O12" t="str">
        <x:v>2024-12-19</x:v>
      </x:c>
      <x:c r="P12" t="str">
        <x:v>없음</x:v>
      </x:c>
      <x:c r="Q12" t="str">
        <x:v>담당1</x:v>
      </x:c>
      <x:c r="R12" t="str">
        <x:v>가상 데이터 / 실제 업체 아님</x:v>
      </x:c>
    </x:row>
    <x:row r="13" ht="21" customHeight="1">
      <x:c r="A13" t="str">
        <x:v>EXA-0012</x:v>
      </x:c>
      <x:c r="B13" t="str">
        <x:v>동행익스체인지 012호</x:v>
      </x:c>
      <x:c r="C13" t="str">
        <x:v>류서현</x:v>
      </x:c>
      <x:c r="D13" t="str">
        <x:v>경기도</x:v>
      </x:c>
      <x:c r="E13" t="str">
        <x:v>안산시</x:v>
      </x:c>
      <x:c r="F13" t="str">
        <x:v>단원구</x:v>
      </x:c>
      <x:c r="G13" t="str">
        <x:v>경기도 안산시 단원구 예술대학로 76</x:v>
      </x:c>
      <x:c r="H13"/>
      <x:c r="I13"/>
      <x:c r="J13" t="str">
        <x:v>공식주소기반(미변환)</x:v>
      </x:c>
      <x:c r="K13" t="str">
        <x:v>2020-07-21</x:v>
      </x:c>
      <x:c r="L13" t="str">
        <x:v>영업중</x:v>
      </x:c>
      <x:c r="M13" t="str">
        <x:v>법인</x:v>
      </x:c>
      <x:c r="N13" t="str">
        <x:v>일반</x:v>
      </x:c>
      <x:c r="O13" t="str">
        <x:v>2025-03-29</x:v>
      </x:c>
      <x:c r="P13" t="str">
        <x:v>없음</x:v>
      </x:c>
      <x:c r="Q13" t="str">
        <x:v>담당1</x:v>
      </x:c>
      <x:c r="R13" t="str">
        <x:v>가상 데이터 / 실제 업체 아님</x:v>
      </x:c>
    </x:row>
    <x:row r="14" ht="21" customHeight="1">
      <x:c r="A14" t="str">
        <x:v>EXA-0013</x:v>
      </x:c>
      <x:c r="B14" t="str">
        <x:v>스마트환전소 013호</x:v>
      </x:c>
      <x:c r="C14" t="str">
        <x:v>서은빈</x:v>
      </x:c>
      <x:c r="D14" t="str">
        <x:v>경기도</x:v>
      </x:c>
      <x:c r="E14" t="str">
        <x:v>안산시</x:v>
      </x:c>
      <x:c r="F14" t="str">
        <x:v>단원구</x:v>
      </x:c>
      <x:c r="G14" t="str">
        <x:v>경기도 안산시 단원구 지곡로 46</x:v>
      </x:c>
      <x:c r="H14"/>
      <x:c r="I14"/>
      <x:c r="J14" t="str">
        <x:v>공식주소기반(미변환)</x:v>
      </x:c>
      <x:c r="K14" t="str">
        <x:v>2022-07-21</x:v>
      </x:c>
      <x:c r="L14" t="str">
        <x:v>폐업</x:v>
      </x:c>
      <x:c r="M14" t="str">
        <x:v>법인</x:v>
      </x:c>
      <x:c r="N14" t="str">
        <x:v>일반</x:v>
      </x:c>
      <x:c r="O14" t="str">
        <x:v>2026-05-10</x:v>
      </x:c>
      <x:c r="P14" t="str">
        <x:v>없음</x:v>
      </x:c>
      <x:c r="Q14" t="str">
        <x:v>담당4</x:v>
      </x:c>
      <x:c r="R14" t="str">
        <x:v>가상 데이터 / 실제 업체 아님</x:v>
      </x:c>
    </x:row>
    <x:row r="15" ht="21" customHeight="1">
      <x:c r="A15" t="str">
        <x:v>EXA-0014</x:v>
      </x:c>
      <x:c r="B15" t="str">
        <x:v>미래플러스환전 014호</x:v>
      </x:c>
      <x:c r="C15" t="str">
        <x:v>송도지</x:v>
      </x:c>
      <x:c r="D15" t="str">
        <x:v>경기도</x:v>
      </x:c>
      <x:c r="E15" t="str">
        <x:v>안산시</x:v>
      </x:c>
      <x:c r="F15" t="str">
        <x:v>상록구</x:v>
      </x:c>
      <x:c r="G15" t="str">
        <x:v>경기도 안산시 상록구 해양로 8</x:v>
      </x:c>
      <x:c r="H15"/>
      <x:c r="I15"/>
      <x:c r="J15" t="str">
        <x:v>공식주소기반(미변환)</x:v>
      </x:c>
      <x:c r="K15" t="str">
        <x:v>2015-02-15</x:v>
      </x:c>
      <x:c r="L15" t="str">
        <x:v>영업중</x:v>
      </x:c>
      <x:c r="M15" t="str">
        <x:v>개인</x:v>
      </x:c>
      <x:c r="N15" t="str">
        <x:v>주거지역</x:v>
      </x:c>
      <x:c r="O15" t="str">
        <x:v>2025-04-10</x:v>
      </x:c>
      <x:c r="P15" t="str">
        <x:v>없음</x:v>
      </x:c>
      <x:c r="Q15" t="str">
        <x:v>담당2</x:v>
      </x:c>
      <x:c r="R15" t="str">
        <x:v>가상 데이터 / 실제 업체 아님</x:v>
      </x:c>
    </x:row>
    <x:row r="16" ht="21" customHeight="1">
      <x:c r="A16" t="str">
        <x:v>EXA-0015</x:v>
      </x:c>
      <x:c r="B16" t="str">
        <x:v>세명환전 015호</x:v>
      </x:c>
      <x:c r="C16" t="str">
        <x:v>박하호</x:v>
      </x:c>
      <x:c r="D16" t="str">
        <x:v>경기도</x:v>
      </x:c>
      <x:c r="E16" t="str">
        <x:v>안산시</x:v>
      </x:c>
      <x:c r="F16" t="str">
        <x:v>상록구</x:v>
      </x:c>
      <x:c r="G16" t="str">
        <x:v>경기도 안산시 상록구 건건로 51</x:v>
      </x:c>
      <x:c r="H16"/>
      <x:c r="I16"/>
      <x:c r="J16" t="str">
        <x:v>공식주소기반(미변환)</x:v>
      </x:c>
      <x:c r="K16" t="str">
        <x:v>2025-11-09</x:v>
      </x:c>
      <x:c r="L16" t="str">
        <x:v>영업중</x:v>
      </x:c>
      <x:c r="M16" t="str">
        <x:v>개인</x:v>
      </x:c>
      <x:c r="N16" t="str">
        <x:v>일반</x:v>
      </x:c>
      <x:c r="O16" t="str">
        <x:v>2025-01-12</x:v>
      </x:c>
      <x:c r="P16" t="str">
        <x:v>없음</x:v>
      </x:c>
      <x:c r="Q16" t="str">
        <x:v>담당3</x:v>
      </x:c>
      <x:c r="R16" t="str">
        <x:v>가상 데이터 / 실제 업체 아님</x:v>
      </x:c>
    </x:row>
    <x:row r="17" ht="21" customHeight="1">
      <x:c r="A17" t="str">
        <x:v>EXA-0016</x:v>
      </x:c>
      <x:c r="B17" t="str">
        <x:v>다정머니체인지 016호</x:v>
      </x:c>
      <x:c r="C17" t="str">
        <x:v>박현현</x:v>
      </x:c>
      <x:c r="D17" t="str">
        <x:v>경기도</x:v>
      </x:c>
      <x:c r="E17" t="str">
        <x:v>안산시</x:v>
      </x:c>
      <x:c r="F17" t="str">
        <x:v>단원구</x:v>
      </x:c>
      <x:c r="G17" t="str">
        <x:v>경기도 안산시 단원구 원선로 31</x:v>
      </x:c>
      <x:c r="H17"/>
      <x:c r="I17"/>
      <x:c r="J17" t="str">
        <x:v>공식주소기반(미변환)</x:v>
      </x:c>
      <x:c r="K17" t="str">
        <x:v>2016-02-26</x:v>
      </x:c>
      <x:c r="L17" t="str">
        <x:v>영업중</x:v>
      </x:c>
      <x:c r="M17" t="str">
        <x:v>법인</x:v>
      </x:c>
      <x:c r="N17" t="str">
        <x:v>상업지역</x:v>
      </x:c>
      <x:c r="O17" t="str">
        <x:v>2023-08-28</x:v>
      </x:c>
      <x:c r="P17" t="str">
        <x:v>없음</x:v>
      </x:c>
      <x:c r="Q17" t="str">
        <x:v>담당3</x:v>
      </x:c>
      <x:c r="R17" t="str">
        <x:v>가상 데이터 / 실제 업체 아님</x:v>
      </x:c>
    </x:row>
    <x:row r="18" ht="21" customHeight="1">
      <x:c r="A18" t="str">
        <x:v>EXA-0017</x:v>
      </x:c>
      <x:c r="B18" t="str">
        <x:v>국제플러스환전 017호</x:v>
      </x:c>
      <x:c r="C18" t="str">
        <x:v>조서진</x:v>
      </x:c>
      <x:c r="D18" t="str">
        <x:v>경기도</x:v>
      </x:c>
      <x:c r="E18" t="str">
        <x:v>안산시</x:v>
      </x:c>
      <x:c r="F18" t="str">
        <x:v>상록구</x:v>
      </x:c>
      <x:c r="G18" t="str">
        <x:v>경기도 안산시 상록구 성호로 53</x:v>
      </x:c>
      <x:c r="H18"/>
      <x:c r="I18"/>
      <x:c r="J18" t="str">
        <x:v>공식주소기반(미변환)</x:v>
      </x:c>
      <x:c r="K18" t="str">
        <x:v>2021-10-01</x:v>
      </x:c>
      <x:c r="L18" t="str">
        <x:v>영업중</x:v>
      </x:c>
      <x:c r="M18" t="str">
        <x:v>개인</x:v>
      </x:c>
      <x:c r="N18" t="str">
        <x:v>관광지 인접</x:v>
      </x:c>
      <x:c r="O18" t="str">
        <x:v>2021-07-15</x:v>
      </x:c>
      <x:c r="P18" t="str">
        <x:v>경미</x:v>
      </x:c>
      <x:c r="Q18" t="str">
        <x:v>담당2</x:v>
      </x:c>
      <x:c r="R18" t="str">
        <x:v>가상 데이터 / 실제 업체 아님</x:v>
      </x:c>
    </x:row>
    <x:row r="19" ht="21" customHeight="1">
      <x:c r="A19" t="str">
        <x:v>EXA-0018</x:v>
      </x:c>
      <x:c r="B19" t="str">
        <x:v>세명스타외환서비스 018호</x:v>
      </x:c>
      <x:c r="C19" t="str">
        <x:v>윤지아</x:v>
      </x:c>
      <x:c r="D19" t="str">
        <x:v>경기도</x:v>
      </x:c>
      <x:c r="E19" t="str">
        <x:v>안산시</x:v>
      </x:c>
      <x:c r="F19" t="str">
        <x:v>상록구</x:v>
      </x:c>
      <x:c r="G19" t="str">
        <x:v>경기도 안산시 상록구 용신로 376</x:v>
      </x:c>
      <x:c r="H19"/>
      <x:c r="I19"/>
      <x:c r="J19" t="str">
        <x:v>공식주소기반(미변환)</x:v>
      </x:c>
      <x:c r="K19" t="str">
        <x:v>2019-02-18</x:v>
      </x:c>
      <x:c r="L19" t="str">
        <x:v>영업중</x:v>
      </x:c>
      <x:c r="M19" t="str">
        <x:v>일반</x:v>
      </x:c>
      <x:c r="N19" t="str">
        <x:v>관광지 인접</x:v>
      </x:c>
      <x:c r="O19" t="str">
        <x:v>2021-01-07</x:v>
      </x:c>
      <x:c r="P19" t="str">
        <x:v>없음</x:v>
      </x:c>
      <x:c r="Q19" t="str">
        <x:v>담당2</x:v>
      </x:c>
      <x:c r="R19" t="str">
        <x:v>가상 데이터 / 실제 업체 아님</x:v>
      </x:c>
    </x:row>
    <x:row r="20" ht="21" customHeight="1">
      <x:c r="A20" t="str">
        <x:v>EXA-0019</x:v>
      </x:c>
      <x:c r="B20" t="str">
        <x:v>평화플러스환전소 019호</x:v>
      </x:c>
      <x:c r="C20" t="str">
        <x:v>한지호</x:v>
      </x:c>
      <x:c r="D20" t="str">
        <x:v>경기도</x:v>
      </x:c>
      <x:c r="E20" t="str">
        <x:v>안산시</x:v>
      </x:c>
      <x:c r="F20" t="str">
        <x:v>단원구</x:v>
      </x:c>
      <x:c r="G20" t="str">
        <x:v>경기도 안산시 단원구 화정천동로 252</x:v>
      </x:c>
      <x:c r="H20"/>
      <x:c r="I20"/>
      <x:c r="J20" t="str">
        <x:v>공식주소기반(미변환)</x:v>
      </x:c>
      <x:c r="K20" t="str">
        <x:v>2025-03-22</x:v>
      </x:c>
      <x:c r="L20" t="str">
        <x:v>영업중</x:v>
      </x:c>
      <x:c r="M20" t="str">
        <x:v>법인</x:v>
      </x:c>
      <x:c r="N20" t="str">
        <x:v>상업지역</x:v>
      </x:c>
      <x:c r="O20" t="str">
        <x:v>2022-02-26</x:v>
      </x:c>
      <x:c r="P20" t="str">
        <x:v>없음</x:v>
      </x:c>
      <x:c r="Q20" t="str">
        <x:v>담당4</x:v>
      </x:c>
      <x:c r="R20" t="str">
        <x:v>가상 데이터 / 실제 업체 아님</x:v>
      </x:c>
    </x:row>
    <x:row r="21" ht="21" customHeight="1">
      <x:c r="A21" t="str">
        <x:v>EXA-0020</x:v>
      </x:c>
      <x:c r="B21" t="str">
        <x:v>한울프라임익스체인지 020호</x:v>
      </x:c>
      <x:c r="C21" t="str">
        <x:v>홍하진</x:v>
      </x:c>
      <x:c r="D21" t="str">
        <x:v>경기도</x:v>
      </x:c>
      <x:c r="E21" t="str">
        <x:v>안산시</x:v>
      </x:c>
      <x:c r="F21" t="str">
        <x:v>단원구</x:v>
      </x:c>
      <x:c r="G21" t="str">
        <x:v>경기도 안산시 단원구 선부광장서로 47</x:v>
      </x:c>
      <x:c r="H21"/>
      <x:c r="I21"/>
      <x:c r="J21" t="str">
        <x:v>공식주소기반(미변환)</x:v>
      </x:c>
      <x:c r="K21" t="str">
        <x:v>2023-10-27</x:v>
      </x:c>
      <x:c r="L21" t="str">
        <x:v>영업중</x:v>
      </x:c>
      <x:c r="M21" t="str">
        <x:v>일반</x:v>
      </x:c>
      <x:c r="N21" t="str">
        <x:v>일반</x:v>
      </x:c>
      <x:c r="O21" t="str">
        <x:v>2025-05-23</x:v>
      </x:c>
      <x:c r="P21" t="str">
        <x:v>없음</x:v>
      </x:c>
      <x:c r="Q21" t="str">
        <x:v>담당3</x:v>
      </x:c>
      <x:c r="R21" t="str">
        <x:v>가상 데이터 / 실제 업체 아님</x:v>
      </x:c>
    </x:row>
    <x:row r="22" ht="21" customHeight="1">
      <x:c r="A22" t="str">
        <x:v>EXA-0021</x:v>
      </x:c>
      <x:c r="B22" t="str">
        <x:v>이음스타환전 021호</x:v>
      </x:c>
      <x:c r="C22" t="str">
        <x:v>안현빈</x:v>
      </x:c>
      <x:c r="D22" t="str">
        <x:v>경기도</x:v>
      </x:c>
      <x:c r="E22" t="str">
        <x:v>안산시</x:v>
      </x:c>
      <x:c r="F22" t="str">
        <x:v>상록구</x:v>
      </x:c>
      <x:c r="G22" t="str">
        <x:v>경기도 안산시 상록구 감골1로 52</x:v>
      </x:c>
      <x:c r="H22"/>
      <x:c r="I22"/>
      <x:c r="J22" t="str">
        <x:v>공식주소기반(미변환)</x:v>
      </x:c>
      <x:c r="K22" t="str">
        <x:v>2014-11-07</x:v>
      </x:c>
      <x:c r="L22" t="str">
        <x:v>폐업</x:v>
      </x:c>
      <x:c r="M22" t="str">
        <x:v>개인</x:v>
      </x:c>
      <x:c r="N22" t="str">
        <x:v>관광지 인접</x:v>
      </x:c>
      <x:c r="O22" t="str">
        <x:v>2022-10-12</x:v>
      </x:c>
      <x:c r="P22" t="str">
        <x:v>경미</x:v>
      </x:c>
      <x:c r="Q22" t="str">
        <x:v>담당3</x:v>
      </x:c>
      <x:c r="R22" t="str">
        <x:v>가상 데이터 / 실제 업체 아님</x:v>
      </x:c>
    </x:row>
    <x:row r="23" ht="21" customHeight="1">
      <x:c r="A23" t="str">
        <x:v>EXA-0022</x:v>
      </x:c>
      <x:c r="B23" t="str">
        <x:v>오션플러스환전 022호</x:v>
      </x:c>
      <x:c r="C23" t="str">
        <x:v>오수아</x:v>
      </x:c>
      <x:c r="D23" t="str">
        <x:v>경기도</x:v>
      </x:c>
      <x:c r="E23" t="str">
        <x:v>안산시</x:v>
      </x:c>
      <x:c r="F23" t="str">
        <x:v>상록구</x:v>
      </x:c>
      <x:c r="G23" t="str">
        <x:v>경기도 안산시 상록구 충장로 468</x:v>
      </x:c>
      <x:c r="H23"/>
      <x:c r="I23"/>
      <x:c r="J23" t="str">
        <x:v>공식주소기반(미변환)</x:v>
      </x:c>
      <x:c r="K23" t="str">
        <x:v>2022-11-09</x:v>
      </x:c>
      <x:c r="L23" t="str">
        <x:v>영업중</x:v>
      </x:c>
      <x:c r="M23" t="str">
        <x:v>개인</x:v>
      </x:c>
      <x:c r="N23" t="str">
        <x:v>관광지 인접</x:v>
      </x:c>
      <x:c r="O23" t="str">
        <x:v>2023-03-03</x:v>
      </x:c>
      <x:c r="P23" t="str">
        <x:v>없음</x:v>
      </x:c>
      <x:c r="Q23" t="str">
        <x:v>담당3</x:v>
      </x:c>
      <x:c r="R23" t="str">
        <x:v>가상 데이터 / 실제 업체 아님</x:v>
      </x:c>
    </x:row>
    <x:row r="24" ht="21" customHeight="1">
      <x:c r="A24" t="str">
        <x:v>EXA-0023</x:v>
      </x:c>
      <x:c r="B24" t="str">
        <x:v>대한프라임익스체인지 023호</x:v>
      </x:c>
      <x:c r="C24" t="str">
        <x:v>조영빈</x:v>
      </x:c>
      <x:c r="D24" t="str">
        <x:v>경기도</x:v>
      </x:c>
      <x:c r="E24" t="str">
        <x:v>안산시</x:v>
      </x:c>
      <x:c r="F24" t="str">
        <x:v>단원구</x:v>
      </x:c>
      <x:c r="G24" t="str">
        <x:v>경기도 안산시 단원구 부부로 55</x:v>
      </x:c>
      <x:c r="H24"/>
      <x:c r="I24"/>
      <x:c r="J24" t="str">
        <x:v>공식주소기반(미변환)</x:v>
      </x:c>
      <x:c r="K24" t="str">
        <x:v>2016-09-23</x:v>
      </x:c>
      <x:c r="L24" t="str">
        <x:v>영업중</x:v>
      </x:c>
      <x:c r="M24" t="str">
        <x:v>개인</x:v>
      </x:c>
      <x:c r="N24" t="str">
        <x:v>상업지역</x:v>
      </x:c>
      <x:c r="O24" t="str">
        <x:v>2024-10-24</x:v>
      </x:c>
      <x:c r="P24" t="str">
        <x:v>경미</x:v>
      </x:c>
      <x:c r="Q24" t="str">
        <x:v>담당3</x:v>
      </x:c>
      <x:c r="R24" t="str">
        <x:v>가상 데이터 / 실제 업체 아님</x:v>
      </x:c>
    </x:row>
    <x:row r="25" ht="21" customHeight="1">
      <x:c r="A25" t="str">
        <x:v>EXA-0024</x:v>
      </x:c>
      <x:c r="B25" t="str">
        <x:v>미래스타환전 024호</x:v>
      </x:c>
      <x:c r="C25" t="str">
        <x:v>홍서준</x:v>
      </x:c>
      <x:c r="D25" t="str">
        <x:v>경기도</x:v>
      </x:c>
      <x:c r="E25" t="str">
        <x:v>안산시</x:v>
      </x:c>
      <x:c r="F25" t="str">
        <x:v>단원구</x:v>
      </x:c>
      <x:c r="G25" t="str">
        <x:v>경기도 안산시 단원구 대부중앙로 97-9</x:v>
      </x:c>
      <x:c r="H25"/>
      <x:c r="I25"/>
      <x:c r="J25" t="str">
        <x:v>공식주소기반(미변환)</x:v>
      </x:c>
      <x:c r="K25" t="str">
        <x:v>2018-07-18</x:v>
      </x:c>
      <x:c r="L25" t="str">
        <x:v>영업중</x:v>
      </x:c>
      <x:c r="M25" t="str">
        <x:v>일반</x:v>
      </x:c>
      <x:c r="N25" t="str">
        <x:v>주거지역</x:v>
      </x:c>
      <x:c r="O25" t="str">
        <x:v>2026-05-21</x:v>
      </x:c>
      <x:c r="P25" t="str">
        <x:v>없음</x:v>
      </x:c>
      <x:c r="Q25" t="str">
        <x:v>담당4</x:v>
      </x:c>
      <x:c r="R25" t="str">
        <x:v>가상 데이터 / 실제 업체 아님</x:v>
      </x:c>
    </x:row>
    <x:row r="26" ht="21" customHeight="1">
      <x:c r="A26" t="str">
        <x:v>EXA-0025</x:v>
      </x:c>
      <x:c r="B26" t="str">
        <x:v>오션플러스익스체인지 025호</x:v>
      </x:c>
      <x:c r="C26" t="str">
        <x:v>최은우</x:v>
      </x:c>
      <x:c r="D26" t="str">
        <x:v>경기도</x:v>
      </x:c>
      <x:c r="E26" t="str">
        <x:v>안산시</x:v>
      </x:c>
      <x:c r="F26" t="str">
        <x:v>상록구</x:v>
      </x:c>
      <x:c r="G26" t="str">
        <x:v>경기도 안산시 상록구 석호로 349</x:v>
      </x:c>
      <x:c r="H26"/>
      <x:c r="I26"/>
      <x:c r="J26" t="str">
        <x:v>공식주소기반(미변환)</x:v>
      </x:c>
      <x:c r="K26" t="str">
        <x:v>2019-01-14</x:v>
      </x:c>
      <x:c r="L26" t="str">
        <x:v>영업중</x:v>
      </x:c>
      <x:c r="M26" t="str">
        <x:v>개인</x:v>
      </x:c>
      <x:c r="N26" t="str">
        <x:v>상업지역</x:v>
      </x:c>
      <x:c r="O26" t="str">
        <x:v>2021-08-16</x:v>
      </x:c>
      <x:c r="P26" t="str">
        <x:v>중대</x:v>
      </x:c>
      <x:c r="Q26" t="str">
        <x:v>담당3</x:v>
      </x:c>
      <x:c r="R26" t="str">
        <x:v>가상 데이터 / 실제 업체 아님</x:v>
      </x:c>
    </x:row>
    <x:row r="27" ht="21" customHeight="1">
      <x:c r="A27" t="str">
        <x:v>EXA-0026</x:v>
      </x:c>
      <x:c r="B27" t="str">
        <x:v>한울프라임머니체인지 026호</x:v>
      </x:c>
      <x:c r="C27" t="str">
        <x:v>안지우</x:v>
      </x:c>
      <x:c r="D27" t="str">
        <x:v>경기도</x:v>
      </x:c>
      <x:c r="E27" t="str">
        <x:v>안산시</x:v>
      </x:c>
      <x:c r="F27" t="str">
        <x:v>단원구</x:v>
      </x:c>
      <x:c r="G27" t="str">
        <x:v>경기도 안산시 단원구 선부로 273</x:v>
      </x:c>
      <x:c r="H27"/>
      <x:c r="I27"/>
      <x:c r="J27" t="str">
        <x:v>공식주소기반(미변환)</x:v>
      </x:c>
      <x:c r="K27" t="str">
        <x:v>2014-10-19</x:v>
      </x:c>
      <x:c r="L27" t="str">
        <x:v>영업중</x:v>
      </x:c>
      <x:c r="M27" t="str">
        <x:v>법인</x:v>
      </x:c>
      <x:c r="N27" t="str">
        <x:v>일반</x:v>
      </x:c>
      <x:c r="O27" t="str">
        <x:v>2026-08-20</x:v>
      </x:c>
      <x:c r="P27" t="str">
        <x:v>없음</x:v>
      </x:c>
      <x:c r="Q27" t="str">
        <x:v>담당2</x:v>
      </x:c>
      <x:c r="R27" t="str">
        <x:v>가상 데이터 / 실제 업체 아님</x:v>
      </x:c>
    </x:row>
    <x:row r="28" ht="21" customHeight="1">
      <x:c r="A28" t="str">
        <x:v>EXA-0027</x:v>
      </x:c>
      <x:c r="B28" t="str">
        <x:v>대한원환전소 027호</x:v>
      </x:c>
      <x:c r="C28" t="str">
        <x:v>정민현</x:v>
      </x:c>
      <x:c r="D28" t="str">
        <x:v>경기도</x:v>
      </x:c>
      <x:c r="E28" t="str">
        <x:v>안산시</x:v>
      </x:c>
      <x:c r="F28" t="str">
        <x:v>단원구</x:v>
      </x:c>
      <x:c r="G28" t="str">
        <x:v>경기도 안산시 단원구 초지동로 67</x:v>
      </x:c>
      <x:c r="H28"/>
      <x:c r="I28"/>
      <x:c r="J28" t="str">
        <x:v>공식주소기반(미변환)</x:v>
      </x:c>
      <x:c r="K28" t="str">
        <x:v>2013-11-22</x:v>
      </x:c>
      <x:c r="L28" t="str">
        <x:v>영업중</x:v>
      </x:c>
      <x:c r="M28" t="str">
        <x:v>개인</x:v>
      </x:c>
      <x:c r="N28" t="str">
        <x:v>주거지역</x:v>
      </x:c>
      <x:c r="O28" t="str">
        <x:v>2023-02-10</x:v>
      </x:c>
      <x:c r="P28" t="str">
        <x:v>경미</x:v>
      </x:c>
      <x:c r="Q28" t="str">
        <x:v>담당1</x:v>
      </x:c>
      <x:c r="R28" t="str">
        <x:v>가상 데이터 / 실제 업체 아님</x:v>
      </x:c>
    </x:row>
    <x:row r="29" ht="21" customHeight="1">
      <x:c r="A29" t="str">
        <x:v>EXA-0028</x:v>
      </x:c>
      <x:c r="B29" t="str">
        <x:v>상록플러스환전소 028호</x:v>
      </x:c>
      <x:c r="C29" t="str">
        <x:v>황수석</x:v>
      </x:c>
      <x:c r="D29" t="str">
        <x:v>경기도</x:v>
      </x:c>
      <x:c r="E29" t="str">
        <x:v>안산시</x:v>
      </x:c>
      <x:c r="F29" t="str">
        <x:v>상록구</x:v>
      </x:c>
      <x:c r="G29" t="str">
        <x:v>경기도 안산시 상록구 석호로 171</x:v>
      </x:c>
      <x:c r="H29"/>
      <x:c r="I29"/>
      <x:c r="J29" t="str">
        <x:v>공식주소기반(미변환)</x:v>
      </x:c>
      <x:c r="K29" t="str">
        <x:v>2013-04-10</x:v>
      </x:c>
      <x:c r="L29" t="str">
        <x:v>영업중</x:v>
      </x:c>
      <x:c r="M29" t="str">
        <x:v>법인</x:v>
      </x:c>
      <x:c r="N29" t="str">
        <x:v>주거지역</x:v>
      </x:c>
      <x:c r="O29" t="str">
        <x:v>2024-01-30</x:v>
      </x:c>
      <x:c r="P29" t="str">
        <x:v>없음</x:v>
      </x:c>
      <x:c r="Q29" t="str">
        <x:v>담당4</x:v>
      </x:c>
      <x:c r="R29" t="str">
        <x:v>가상 데이터 / 실제 업체 아님</x:v>
      </x:c>
    </x:row>
    <x:row r="30" ht="21" customHeight="1">
      <x:c r="A30" t="str">
        <x:v>EXA-0029</x:v>
      </x:c>
      <x:c r="B30" t="str">
        <x:v>다온환전 029호</x:v>
      </x:c>
      <x:c r="C30" t="str">
        <x:v>송은준</x:v>
      </x:c>
      <x:c r="D30" t="str">
        <x:v>경기도</x:v>
      </x:c>
      <x:c r="E30" t="str">
        <x:v>안산시</x:v>
      </x:c>
      <x:c r="F30" t="str">
        <x:v>상록구</x:v>
      </x:c>
      <x:c r="G30" t="str">
        <x:v>경기도 안산시 상록구 시낭북로 4</x:v>
      </x:c>
      <x:c r="H30"/>
      <x:c r="I30"/>
      <x:c r="J30" t="str">
        <x:v>공식주소기반(미변환)</x:v>
      </x:c>
      <x:c r="K30" t="str">
        <x:v>2016-11-21</x:v>
      </x:c>
      <x:c r="L30" t="str">
        <x:v>영업중</x:v>
      </x:c>
      <x:c r="M30" t="str">
        <x:v>개인</x:v>
      </x:c>
      <x:c r="N30" t="str">
        <x:v>관광지 인접</x:v>
      </x:c>
      <x:c r="O30" t="str">
        <x:v>2021-08-19</x:v>
      </x:c>
      <x:c r="P30" t="str">
        <x:v>없음</x:v>
      </x:c>
      <x:c r="Q30" t="str">
        <x:v>담당1</x:v>
      </x:c>
      <x:c r="R30" t="str">
        <x:v>가상 데이터 / 실제 업체 아님</x:v>
      </x:c>
    </x:row>
    <x:row r="31" ht="21" customHeight="1">
      <x:c r="A31" t="str">
        <x:v>EXA-0030</x:v>
      </x:c>
      <x:c r="B31" t="str">
        <x:v>대한플러스머니체인지 030호</x:v>
      </x:c>
      <x:c r="C31" t="str">
        <x:v>최민아</x:v>
      </x:c>
      <x:c r="D31" t="str">
        <x:v>경기도</x:v>
      </x:c>
      <x:c r="E31" t="str">
        <x:v>안산시</x:v>
      </x:c>
      <x:c r="F31" t="str">
        <x:v>단원구</x:v>
      </x:c>
      <x:c r="G31" t="str">
        <x:v>경기도 안산시 단원구 광덕2로 125</x:v>
      </x:c>
      <x:c r="H31"/>
      <x:c r="I31"/>
      <x:c r="J31" t="str">
        <x:v>공식주소기반(미변환)</x:v>
      </x:c>
      <x:c r="K31" t="str">
        <x:v>2022-12-29</x:v>
      </x:c>
      <x:c r="L31" t="str">
        <x:v>영업중</x:v>
      </x:c>
      <x:c r="M31" t="str">
        <x:v>법인</x:v>
      </x:c>
      <x:c r="N31" t="str">
        <x:v>관광지 인접</x:v>
      </x:c>
      <x:c r="O31" t="str">
        <x:v>2022-09-26</x:v>
      </x:c>
      <x:c r="P31" t="str">
        <x:v>없음</x:v>
      </x:c>
      <x:c r="Q31" t="str">
        <x:v>담당4</x:v>
      </x:c>
      <x:c r="R31" t="str">
        <x:v>가상 데이터 / 실제 업체 아님</x:v>
      </x:c>
    </x:row>
    <x:row r="32" ht="21" customHeight="1">
      <x:c r="A32" t="str">
        <x:v>EXA-0031</x:v>
      </x:c>
      <x:c r="B32" t="str">
        <x:v>다온프라임환전 031호</x:v>
      </x:c>
      <x:c r="C32" t="str">
        <x:v>송도석</x:v>
      </x:c>
      <x:c r="D32" t="str">
        <x:v>경기도</x:v>
      </x:c>
      <x:c r="E32" t="str">
        <x:v>안산시</x:v>
      </x:c>
      <x:c r="F32" t="str">
        <x:v>단원구</x:v>
      </x:c>
      <x:c r="G32" t="str">
        <x:v>경기도 안산시 단원구 선삼로 47</x:v>
      </x:c>
      <x:c r="H32"/>
      <x:c r="I32"/>
      <x:c r="J32" t="str">
        <x:v>공식주소기반(미변환)</x:v>
      </x:c>
      <x:c r="K32" t="str">
        <x:v>2012-01-04</x:v>
      </x:c>
      <x:c r="L32" t="str">
        <x:v>영업중</x:v>
      </x:c>
      <x:c r="M32" t="str">
        <x:v>개인</x:v>
      </x:c>
      <x:c r="N32" t="str">
        <x:v>상업지역</x:v>
      </x:c>
      <x:c r="O32" t="str">
        <x:v>2025-01-06</x:v>
      </x:c>
      <x:c r="P32" t="str">
        <x:v>중대</x:v>
      </x:c>
      <x:c r="Q32" t="str">
        <x:v>담당3</x:v>
      </x:c>
      <x:c r="R32" t="str">
        <x:v>가상 데이터 / 실제 업체 아님</x:v>
      </x:c>
    </x:row>
    <x:row r="33" ht="21" customHeight="1">
      <x:c r="A33" t="str">
        <x:v>EXA-0032</x:v>
      </x:c>
      <x:c r="B33" t="str">
        <x:v>푸른프라임환전 032호</x:v>
      </x:c>
      <x:c r="C33" t="str">
        <x:v>강우희</x:v>
      </x:c>
      <x:c r="D33" t="str">
        <x:v>경기도</x:v>
      </x:c>
      <x:c r="E33" t="str">
        <x:v>안산시</x:v>
      </x:c>
      <x:c r="F33" t="str">
        <x:v>상록구</x:v>
      </x:c>
      <x:c r="G33" t="str">
        <x:v>경기도 안산시 상록구 샘골로 16</x:v>
      </x:c>
      <x:c r="H33"/>
      <x:c r="I33"/>
      <x:c r="J33" t="str">
        <x:v>공식주소기반(미변환)</x:v>
      </x:c>
      <x:c r="K33" t="str">
        <x:v>2021-07-01</x:v>
      </x:c>
      <x:c r="L33" t="str">
        <x:v>영업중</x:v>
      </x:c>
      <x:c r="M33" t="str">
        <x:v>개인</x:v>
      </x:c>
      <x:c r="N33" t="str">
        <x:v>상업지역</x:v>
      </x:c>
      <x:c r="O33" t="str">
        <x:v>2023-05-18</x:v>
      </x:c>
      <x:c r="P33" t="str">
        <x:v>경미</x:v>
      </x:c>
      <x:c r="Q33" t="str">
        <x:v>담당1</x:v>
      </x:c>
      <x:c r="R33" t="str">
        <x:v>가상 데이터 / 실제 업체 아님</x:v>
      </x:c>
    </x:row>
    <x:row r="34" ht="21" customHeight="1">
      <x:c r="A34" t="str">
        <x:v>EXA-0033</x:v>
      </x:c>
      <x:c r="B34" t="str">
        <x:v>푸른환전소 033호</x:v>
      </x:c>
      <x:c r="C34" t="str">
        <x:v>류민석</x:v>
      </x:c>
      <x:c r="D34" t="str">
        <x:v>경기도</x:v>
      </x:c>
      <x:c r="E34" t="str">
        <x:v>안산시</x:v>
      </x:c>
      <x:c r="F34" t="str">
        <x:v>상록구</x:v>
      </x:c>
      <x:c r="G34" t="str">
        <x:v>경기도 안산시 상록구 장하로 315</x:v>
      </x:c>
      <x:c r="H34"/>
      <x:c r="I34"/>
      <x:c r="J34" t="str">
        <x:v>공식주소기반(미변환)</x:v>
      </x:c>
      <x:c r="K34" t="str">
        <x:v>2016-11-11</x:v>
      </x:c>
      <x:c r="L34" t="str">
        <x:v>영업중</x:v>
      </x:c>
      <x:c r="M34" t="str">
        <x:v>개인</x:v>
      </x:c>
      <x:c r="N34" t="str">
        <x:v>상업지역</x:v>
      </x:c>
      <x:c r="O34" t="str">
        <x:v>2023-09-12</x:v>
      </x:c>
      <x:c r="P34" t="str">
        <x:v>경미</x:v>
      </x:c>
      <x:c r="Q34" t="str">
        <x:v>담당3</x:v>
      </x:c>
      <x:c r="R34" t="str">
        <x:v>가상 데이터 / 실제 업체 아님</x:v>
      </x:c>
    </x:row>
    <x:row r="35" ht="21" customHeight="1">
      <x:c r="A35" t="str">
        <x:v>EXA-0034</x:v>
      </x:c>
      <x:c r="B35" t="str">
        <x:v>이음원익스체인지 034호</x:v>
      </x:c>
      <x:c r="C35" t="str">
        <x:v>이수아</x:v>
      </x:c>
      <x:c r="D35" t="str">
        <x:v>경기도</x:v>
      </x:c>
      <x:c r="E35" t="str">
        <x:v>안산시</x:v>
      </x:c>
      <x:c r="F35" t="str">
        <x:v>단원구</x:v>
      </x:c>
      <x:c r="G35" t="str">
        <x:v>경기도 안산시 단원구 삼일로 42-7</x:v>
      </x:c>
      <x:c r="H35"/>
      <x:c r="I35"/>
      <x:c r="J35" t="str">
        <x:v>공식주소기반(미변환)</x:v>
      </x:c>
      <x:c r="K35" t="str">
        <x:v>2012-07-26</x:v>
      </x:c>
      <x:c r="L35" t="str">
        <x:v>영업중</x:v>
      </x:c>
      <x:c r="M35" t="str">
        <x:v>법인</x:v>
      </x:c>
      <x:c r="N35" t="str">
        <x:v>일반</x:v>
      </x:c>
      <x:c r="O35" t="str">
        <x:v>2021-06-29</x:v>
      </x:c>
      <x:c r="P35" t="str">
        <x:v>없음</x:v>
      </x:c>
      <x:c r="Q35" t="str">
        <x:v>담당2</x:v>
      </x:c>
      <x:c r="R35" t="str">
        <x:v>가상 데이터 / 실제 업체 아님</x:v>
      </x:c>
    </x:row>
    <x:row r="36" ht="21" customHeight="1">
      <x:c r="A36" t="str">
        <x:v>EXA-0035</x:v>
      </x:c>
      <x:c r="B36" t="str">
        <x:v>한마음스타머니체인지 035호</x:v>
      </x:c>
      <x:c r="C36" t="str">
        <x:v>임지호</x:v>
      </x:c>
      <x:c r="D36" t="str">
        <x:v>경기도</x:v>
      </x:c>
      <x:c r="E36" t="str">
        <x:v>안산시</x:v>
      </x:c>
      <x:c r="F36" t="str">
        <x:v>상록구</x:v>
      </x:c>
      <x:c r="G36" t="str">
        <x:v>경기도 안산시 상록구 이동로 46</x:v>
      </x:c>
      <x:c r="H36"/>
      <x:c r="I36"/>
      <x:c r="J36" t="str">
        <x:v>공식주소기반(미변환)</x:v>
      </x:c>
      <x:c r="K36" t="str">
        <x:v>2021-01-25</x:v>
      </x:c>
      <x:c r="L36" t="str">
        <x:v>영업중</x:v>
      </x:c>
      <x:c r="M36" t="str">
        <x:v>개인</x:v>
      </x:c>
      <x:c r="N36" t="str">
        <x:v>일반</x:v>
      </x:c>
      <x:c r="O36" t="str">
        <x:v>2022-01-04</x:v>
      </x:c>
      <x:c r="P36" t="str">
        <x:v>없음</x:v>
      </x:c>
      <x:c r="Q36" t="str">
        <x:v>담당4</x:v>
      </x:c>
      <x:c r="R36" t="str">
        <x:v>가상 데이터 / 실제 업체 아님</x:v>
      </x:c>
    </x:row>
    <x:row r="37" ht="21" customHeight="1">
      <x:c r="A37" t="str">
        <x:v>EXA-0036</x:v>
      </x:c>
      <x:c r="B37" t="str">
        <x:v>다정스타머니체인지 036호</x:v>
      </x:c>
      <x:c r="C37" t="str">
        <x:v>한지우</x:v>
      </x:c>
      <x:c r="D37" t="str">
        <x:v>경기도</x:v>
      </x:c>
      <x:c r="E37" t="str">
        <x:v>안산시</x:v>
      </x:c>
      <x:c r="F37" t="str">
        <x:v>상록구</x:v>
      </x:c>
      <x:c r="G37" t="str">
        <x:v>경기도 안산시 상록구 성호로 326</x:v>
      </x:c>
      <x:c r="H37"/>
      <x:c r="I37"/>
      <x:c r="J37" t="str">
        <x:v>공식주소기반(미변환)</x:v>
      </x:c>
      <x:c r="K37" t="str">
        <x:v>2022-09-19</x:v>
      </x:c>
      <x:c r="L37" t="str">
        <x:v>영업중</x:v>
      </x:c>
      <x:c r="M37" t="str">
        <x:v>법인</x:v>
      </x:c>
      <x:c r="N37" t="str">
        <x:v>상업지역</x:v>
      </x:c>
      <x:c r="O37" t="str">
        <x:v>2021-10-15</x:v>
      </x:c>
      <x:c r="P37" t="str">
        <x:v>없음</x:v>
      </x:c>
      <x:c r="Q37" t="str">
        <x:v>담당3</x:v>
      </x:c>
      <x:c r="R37" t="str">
        <x:v>가상 데이터 / 실제 업체 아님</x:v>
      </x:c>
    </x:row>
    <x:row r="38" ht="21" customHeight="1">
      <x:c r="A38" t="str">
        <x:v>EXA-0037</x:v>
      </x:c>
      <x:c r="B38" t="str">
        <x:v>이음환전소 037호</x:v>
      </x:c>
      <x:c r="C38" t="str">
        <x:v>송준현</x:v>
      </x:c>
      <x:c r="D38" t="str">
        <x:v>경기도</x:v>
      </x:c>
      <x:c r="E38" t="str">
        <x:v>안산시</x:v>
      </x:c>
      <x:c r="F38" t="str">
        <x:v>단원구</x:v>
      </x:c>
      <x:c r="G38" t="str">
        <x:v>경기도 안산시 단원구 예술대학로 76</x:v>
      </x:c>
      <x:c r="H38"/>
      <x:c r="I38"/>
      <x:c r="J38" t="str">
        <x:v>공식주소기반(미변환)</x:v>
      </x:c>
      <x:c r="K38" t="str">
        <x:v>2019-06-01</x:v>
      </x:c>
      <x:c r="L38" t="str">
        <x:v>영업중</x:v>
      </x:c>
      <x:c r="M38" t="str">
        <x:v>일반</x:v>
      </x:c>
      <x:c r="N38" t="str">
        <x:v>일반</x:v>
      </x:c>
      <x:c r="O38" t="str">
        <x:v>2025-01-31</x:v>
      </x:c>
      <x:c r="P38" t="str">
        <x:v>없음</x:v>
      </x:c>
      <x:c r="Q38" t="str">
        <x:v>담당2</x:v>
      </x:c>
      <x:c r="R38" t="str">
        <x:v>가상 데이터 / 실제 업체 아님</x:v>
      </x:c>
    </x:row>
    <x:row r="39" ht="21" customHeight="1">
      <x:c r="A39" t="str">
        <x:v>EXA-0038</x:v>
      </x:c>
      <x:c r="B39" t="str">
        <x:v>다온스타외환서비스 038호</x:v>
      </x:c>
      <x:c r="C39" t="str">
        <x:v>권현연</x:v>
      </x:c>
      <x:c r="D39" t="str">
        <x:v>경기도</x:v>
      </x:c>
      <x:c r="E39" t="str">
        <x:v>안산시</x:v>
      </x:c>
      <x:c r="F39" t="str">
        <x:v>단원구</x:v>
      </x:c>
      <x:c r="G39" t="str">
        <x:v>경기도 안산시 단원구 지곡로 46</x:v>
      </x:c>
      <x:c r="H39"/>
      <x:c r="I39"/>
      <x:c r="J39" t="str">
        <x:v>공식주소기반(미변환)</x:v>
      </x:c>
      <x:c r="K39" t="str">
        <x:v>2017-01-02</x:v>
      </x:c>
      <x:c r="L39" t="str">
        <x:v>영업중</x:v>
      </x:c>
      <x:c r="M39" t="str">
        <x:v>개인</x:v>
      </x:c>
      <x:c r="N39" t="str">
        <x:v>관광지 인접</x:v>
      </x:c>
      <x:c r="O39" t="str">
        <x:v>2025-07-13</x:v>
      </x:c>
      <x:c r="P39" t="str">
        <x:v>없음</x:v>
      </x:c>
      <x:c r="Q39" t="str">
        <x:v>담당3</x:v>
      </x:c>
      <x:c r="R39" t="str">
        <x:v>가상 데이터 / 실제 업체 아님</x:v>
      </x:c>
    </x:row>
    <x:row r="40" ht="21" customHeight="1">
      <x:c r="A40" t="str">
        <x:v>EXA-0039</x:v>
      </x:c>
      <x:c r="B40" t="str">
        <x:v>스마트프라임환전 039호</x:v>
      </x:c>
      <x:c r="C40" t="str">
        <x:v>장하진</x:v>
      </x:c>
      <x:c r="D40" t="str">
        <x:v>경기도</x:v>
      </x:c>
      <x:c r="E40" t="str">
        <x:v>안산시</x:v>
      </x:c>
      <x:c r="F40" t="str">
        <x:v>상록구</x:v>
      </x:c>
      <x:c r="G40" t="str">
        <x:v>경기도 안산시 상록구 해양로 8</x:v>
      </x:c>
      <x:c r="H40"/>
      <x:c r="I40"/>
      <x:c r="J40" t="str">
        <x:v>공식주소기반(미변환)</x:v>
      </x:c>
      <x:c r="K40" t="str">
        <x:v>2011-12-23</x:v>
      </x:c>
      <x:c r="L40" t="str">
        <x:v>영업중</x:v>
      </x:c>
      <x:c r="M40" t="str">
        <x:v>개인</x:v>
      </x:c>
      <x:c r="N40" t="str">
        <x:v>일반</x:v>
      </x:c>
      <x:c r="O40" t="str">
        <x:v>2021-12-29</x:v>
      </x:c>
      <x:c r="P40" t="str">
        <x:v>경미</x:v>
      </x:c>
      <x:c r="Q40" t="str">
        <x:v>담당1</x:v>
      </x:c>
      <x:c r="R40" t="str">
        <x:v>가상 데이터 / 실제 업체 아님</x:v>
      </x:c>
    </x:row>
    <x:row r="41" ht="21" customHeight="1">
      <x:c r="A41" t="str">
        <x:v>EXA-0040</x:v>
      </x:c>
      <x:c r="B41" t="str">
        <x:v>동서머니체인지 040호</x:v>
      </x:c>
      <x:c r="C41" t="str">
        <x:v>황수빈</x:v>
      </x:c>
      <x:c r="D41" t="str">
        <x:v>경기도</x:v>
      </x:c>
      <x:c r="E41" t="str">
        <x:v>안산시</x:v>
      </x:c>
      <x:c r="F41" t="str">
        <x:v>상록구</x:v>
      </x:c>
      <x:c r="G41" t="str">
        <x:v>경기도 안산시 상록구 건건로 51</x:v>
      </x:c>
      <x:c r="H41"/>
      <x:c r="I41"/>
      <x:c r="J41" t="str">
        <x:v>공식주소기반(미변환)</x:v>
      </x:c>
      <x:c r="K41" t="str">
        <x:v>2016-01-25</x:v>
      </x:c>
      <x:c r="L41" t="str">
        <x:v>폐업</x:v>
      </x:c>
      <x:c r="M41" t="str">
        <x:v>법인</x:v>
      </x:c>
      <x:c r="N41" t="str">
        <x:v>주거지역</x:v>
      </x:c>
      <x:c r="O41" t="str">
        <x:v>2022-11-29</x:v>
      </x:c>
      <x:c r="P41" t="str">
        <x:v>없음</x:v>
      </x:c>
      <x:c r="Q41" t="str">
        <x:v>담당4</x:v>
      </x:c>
      <x:c r="R41" t="str">
        <x:v>가상 데이터 / 실제 업체 아님</x:v>
      </x:c>
    </x:row>
    <x:row r="42" ht="21" customHeight="1">
      <x:c r="A42" t="str">
        <x:v>EXA-0041</x:v>
      </x:c>
      <x:c r="B42" t="str">
        <x:v>스마트프라임환전소 041호</x:v>
      </x:c>
      <x:c r="C42" t="str">
        <x:v>장도호</x:v>
      </x:c>
      <x:c r="D42" t="str">
        <x:v>경기도</x:v>
      </x:c>
      <x:c r="E42" t="str">
        <x:v>안산시</x:v>
      </x:c>
      <x:c r="F42" t="str">
        <x:v>단원구</x:v>
      </x:c>
      <x:c r="G42" t="str">
        <x:v>경기도 안산시 단원구 원선로 31</x:v>
      </x:c>
      <x:c r="H42"/>
      <x:c r="I42"/>
      <x:c r="J42" t="str">
        <x:v>공식주소기반(미변환)</x:v>
      </x:c>
      <x:c r="K42" t="str">
        <x:v>2014-08-15</x:v>
      </x:c>
      <x:c r="L42" t="str">
        <x:v>영업중</x:v>
      </x:c>
      <x:c r="M42" t="str">
        <x:v>개인</x:v>
      </x:c>
      <x:c r="N42" t="str">
        <x:v>일반</x:v>
      </x:c>
      <x:c r="O42" t="str">
        <x:v>2023-02-21</x:v>
      </x:c>
      <x:c r="P42" t="str">
        <x:v>없음</x:v>
      </x:c>
      <x:c r="Q42" t="str">
        <x:v>담당4</x:v>
      </x:c>
      <x:c r="R42" t="str">
        <x:v>가상 데이터 / 실제 업체 아님</x:v>
      </x:c>
    </x:row>
    <x:row r="43" ht="21" customHeight="1">
      <x:c r="A43" t="str">
        <x:v>EXA-0042</x:v>
      </x:c>
      <x:c r="B43" t="str">
        <x:v>나래원익스체인지 042호</x:v>
      </x:c>
      <x:c r="C43" t="str">
        <x:v>장서준</x:v>
      </x:c>
      <x:c r="D43" t="str">
        <x:v>경기도</x:v>
      </x:c>
      <x:c r="E43" t="str">
        <x:v>안산시</x:v>
      </x:c>
      <x:c r="F43" t="str">
        <x:v>상록구</x:v>
      </x:c>
      <x:c r="G43" t="str">
        <x:v>경기도 안산시 상록구 성호로 53</x:v>
      </x:c>
      <x:c r="H43"/>
      <x:c r="I43"/>
      <x:c r="J43" t="str">
        <x:v>공식주소기반(미변환)</x:v>
      </x:c>
      <x:c r="K43" t="str">
        <x:v>2023-04-10</x:v>
      </x:c>
      <x:c r="L43" t="str">
        <x:v>영업중</x:v>
      </x:c>
      <x:c r="M43" t="str">
        <x:v>법인</x:v>
      </x:c>
      <x:c r="N43" t="str">
        <x:v>일반</x:v>
      </x:c>
      <x:c r="O43" t="str">
        <x:v>2022-10-27</x:v>
      </x:c>
      <x:c r="P43" t="str">
        <x:v>없음</x:v>
      </x:c>
      <x:c r="Q43" t="str">
        <x:v>담당1</x:v>
      </x:c>
      <x:c r="R43" t="str">
        <x:v>가상 데이터 / 실제 업체 아님</x:v>
      </x:c>
    </x:row>
    <x:row r="44" ht="21" customHeight="1">
      <x:c r="A44" t="str">
        <x:v>EXA-0043</x:v>
      </x:c>
      <x:c r="B44" t="str">
        <x:v>오션외환서비스 043호</x:v>
      </x:c>
      <x:c r="C44" t="str">
        <x:v>안하준</x:v>
      </x:c>
      <x:c r="D44" t="str">
        <x:v>경기도</x:v>
      </x:c>
      <x:c r="E44" t="str">
        <x:v>안산시</x:v>
      </x:c>
      <x:c r="F44" t="str">
        <x:v>상록구</x:v>
      </x:c>
      <x:c r="G44" t="str">
        <x:v>경기도 안산시 상록구 용신로 376</x:v>
      </x:c>
      <x:c r="H44"/>
      <x:c r="I44"/>
      <x:c r="J44" t="str">
        <x:v>공식주소기반(미변환)</x:v>
      </x:c>
      <x:c r="K44" t="str">
        <x:v>2022-10-18</x:v>
      </x:c>
      <x:c r="L44" t="str">
        <x:v>휴업</x:v>
      </x:c>
      <x:c r="M44" t="str">
        <x:v>개인</x:v>
      </x:c>
      <x:c r="N44" t="str">
        <x:v>주거지역</x:v>
      </x:c>
      <x:c r="O44" t="str">
        <x:v>2025-04-16</x:v>
      </x:c>
      <x:c r="P44" t="str">
        <x:v>없음</x:v>
      </x:c>
      <x:c r="Q44" t="str">
        <x:v>담당1</x:v>
      </x:c>
      <x:c r="R44" t="str">
        <x:v>가상 데이터 / 실제 업체 아님</x:v>
      </x:c>
    </x:row>
    <x:row r="45" ht="21" customHeight="1">
      <x:c r="A45" t="str">
        <x:v>EXA-0044</x:v>
      </x:c>
      <x:c r="B45" t="str">
        <x:v>세명원익스체인지 044호</x:v>
      </x:c>
      <x:c r="C45" t="str">
        <x:v>서도지</x:v>
      </x:c>
      <x:c r="D45" t="str">
        <x:v>경기도</x:v>
      </x:c>
      <x:c r="E45" t="str">
        <x:v>안산시</x:v>
      </x:c>
      <x:c r="F45" t="str">
        <x:v>단원구</x:v>
      </x:c>
      <x:c r="G45" t="str">
        <x:v>경기도 안산시 단원구 화정천동로 252</x:v>
      </x:c>
      <x:c r="H45"/>
      <x:c r="I45"/>
      <x:c r="J45" t="str">
        <x:v>공식주소기반(미변환)</x:v>
      </x:c>
      <x:c r="K45" t="str">
        <x:v>2024-07-28</x:v>
      </x:c>
      <x:c r="L45" t="str">
        <x:v>영업중</x:v>
      </x:c>
      <x:c r="M45" t="str">
        <x:v>개인</x:v>
      </x:c>
      <x:c r="N45" t="str">
        <x:v>일반</x:v>
      </x:c>
      <x:c r="O45" t="str">
        <x:v>2021-07-23</x:v>
      </x:c>
      <x:c r="P45" t="str">
        <x:v>없음</x:v>
      </x:c>
      <x:c r="Q45" t="str">
        <x:v>담당1</x:v>
      </x:c>
      <x:c r="R45" t="str">
        <x:v>가상 데이터 / 실제 업체 아님</x:v>
      </x:c>
    </x:row>
    <x:row r="46" ht="21" customHeight="1">
      <x:c r="A46" t="str">
        <x:v>EXA-0045</x:v>
      </x:c>
      <x:c r="B46" t="str">
        <x:v>세계원머니체인지 045호</x:v>
      </x:c>
      <x:c r="C46" t="str">
        <x:v>오태진</x:v>
      </x:c>
      <x:c r="D46" t="str">
        <x:v>경기도</x:v>
      </x:c>
      <x:c r="E46" t="str">
        <x:v>안산시</x:v>
      </x:c>
      <x:c r="F46" t="str">
        <x:v>단원구</x:v>
      </x:c>
      <x:c r="G46" t="str">
        <x:v>경기도 안산시 단원구 선부광장서로 47</x:v>
      </x:c>
      <x:c r="H46"/>
      <x:c r="I46"/>
      <x:c r="J46" t="str">
        <x:v>공식주소기반(미변환)</x:v>
      </x:c>
      <x:c r="K46" t="str">
        <x:v>2015-10-15</x:v>
      </x:c>
      <x:c r="L46" t="str">
        <x:v>휴업</x:v>
      </x:c>
      <x:c r="M46" t="str">
        <x:v>개인</x:v>
      </x:c>
      <x:c r="N46" t="str">
        <x:v>일반</x:v>
      </x:c>
      <x:c r="O46" t="str">
        <x:v>2023-05-06</x:v>
      </x:c>
      <x:c r="P46" t="str">
        <x:v>없음</x:v>
      </x:c>
      <x:c r="Q46" t="str">
        <x:v>담당3</x:v>
      </x:c>
      <x:c r="R46" t="str">
        <x:v>가상 데이터 / 실제 업체 아님</x:v>
      </x:c>
    </x:row>
    <x:row r="47" ht="21" customHeight="1">
      <x:c r="A47" t="str">
        <x:v>EXA-0046</x:v>
      </x:c>
      <x:c r="B47" t="str">
        <x:v>상록원머니체인지 046호</x:v>
      </x:c>
      <x:c r="C47" t="str">
        <x:v>류수현</x:v>
      </x:c>
      <x:c r="D47" t="str">
        <x:v>경기도</x:v>
      </x:c>
      <x:c r="E47" t="str">
        <x:v>안산시</x:v>
      </x:c>
      <x:c r="F47" t="str">
        <x:v>상록구</x:v>
      </x:c>
      <x:c r="G47" t="str">
        <x:v>경기도 안산시 상록구 감골1로 52</x:v>
      </x:c>
      <x:c r="H47"/>
      <x:c r="I47"/>
      <x:c r="J47" t="str">
        <x:v>공식주소기반(미변환)</x:v>
      </x:c>
      <x:c r="K47" t="str">
        <x:v>2015-12-16</x:v>
      </x:c>
      <x:c r="L47" t="str">
        <x:v>영업중</x:v>
      </x:c>
      <x:c r="M47" t="str">
        <x:v>일반</x:v>
      </x:c>
      <x:c r="N47" t="str">
        <x:v>관광지 인접</x:v>
      </x:c>
      <x:c r="O47" t="str">
        <x:v>2021-07-09</x:v>
      </x:c>
      <x:c r="P47" t="str">
        <x:v>경미</x:v>
      </x:c>
      <x:c r="Q47" t="str">
        <x:v>담당4</x:v>
      </x:c>
      <x:c r="R47" t="str">
        <x:v>가상 데이터 / 실제 업체 아님</x:v>
      </x:c>
    </x:row>
    <x:row r="48" ht="21" customHeight="1">
      <x:c r="A48" t="str">
        <x:v>EXA-0047</x:v>
      </x:c>
      <x:c r="B48" t="str">
        <x:v>미래원환전 047호</x:v>
      </x:c>
      <x:c r="C48" t="str">
        <x:v>안서현</x:v>
      </x:c>
      <x:c r="D48" t="str">
        <x:v>경기도</x:v>
      </x:c>
      <x:c r="E48" t="str">
        <x:v>안산시</x:v>
      </x:c>
      <x:c r="F48" t="str">
        <x:v>상록구</x:v>
      </x:c>
      <x:c r="G48" t="str">
        <x:v>경기도 안산시 상록구 충장로 468</x:v>
      </x:c>
      <x:c r="H48"/>
      <x:c r="I48"/>
      <x:c r="J48" t="str">
        <x:v>공식주소기반(미변환)</x:v>
      </x:c>
      <x:c r="K48" t="str">
        <x:v>2015-12-03</x:v>
      </x:c>
      <x:c r="L48" t="str">
        <x:v>영업중</x:v>
      </x:c>
      <x:c r="M48" t="str">
        <x:v>개인</x:v>
      </x:c>
      <x:c r="N48" t="str">
        <x:v>상업지역</x:v>
      </x:c>
      <x:c r="O48" t="str">
        <x:v>2021-12-05</x:v>
      </x:c>
      <x:c r="P48" t="str">
        <x:v>중대</x:v>
      </x:c>
      <x:c r="Q48" t="str">
        <x:v>담당1</x:v>
      </x:c>
      <x:c r="R48" t="str">
        <x:v>가상 데이터 / 실제 업체 아님</x:v>
      </x:c>
    </x:row>
    <x:row r="49" ht="21" customHeight="1">
      <x:c r="A49" t="str">
        <x:v>EXA-0048</x:v>
      </x:c>
      <x:c r="B49" t="str">
        <x:v>안산플러스환전소 048호</x:v>
      </x:c>
      <x:c r="C49" t="str">
        <x:v>이수아</x:v>
      </x:c>
      <x:c r="D49" t="str">
        <x:v>경기도</x:v>
      </x:c>
      <x:c r="E49" t="str">
        <x:v>안산시</x:v>
      </x:c>
      <x:c r="F49" t="str">
        <x:v>단원구</x:v>
      </x:c>
      <x:c r="G49" t="str">
        <x:v>경기도 안산시 단원구 부부로 55</x:v>
      </x:c>
      <x:c r="H49"/>
      <x:c r="I49"/>
      <x:c r="J49" t="str">
        <x:v>공식주소기반(미변환)</x:v>
      </x:c>
      <x:c r="K49" t="str">
        <x:v>2018-11-04</x:v>
      </x:c>
      <x:c r="L49" t="str">
        <x:v>영업중</x:v>
      </x:c>
      <x:c r="M49" t="str">
        <x:v>개인</x:v>
      </x:c>
      <x:c r="N49" t="str">
        <x:v>주거지역</x:v>
      </x:c>
      <x:c r="O49" t="str">
        <x:v>2022-04-21</x:v>
      </x:c>
      <x:c r="P49" t="str">
        <x:v>없음</x:v>
      </x:c>
      <x:c r="Q49" t="str">
        <x:v>담당2</x:v>
      </x:c>
      <x:c r="R49" t="str">
        <x:v>가상 데이터 / 실제 업체 아님</x:v>
      </x:c>
    </x:row>
    <x:row r="50" ht="21" customHeight="1">
      <x:c r="A50" t="str">
        <x:v>EXA-0049</x:v>
      </x:c>
      <x:c r="B50" t="str">
        <x:v>다정익스체인지 049호</x:v>
      </x:c>
      <x:c r="C50" t="str">
        <x:v>황서희</x:v>
      </x:c>
      <x:c r="D50" t="str">
        <x:v>경기도</x:v>
      </x:c>
      <x:c r="E50" t="str">
        <x:v>안산시</x:v>
      </x:c>
      <x:c r="F50" t="str">
        <x:v>단원구</x:v>
      </x:c>
      <x:c r="G50" t="str">
        <x:v>경기도 안산시 단원구 대부중앙로 97-9</x:v>
      </x:c>
      <x:c r="H50"/>
      <x:c r="I50"/>
      <x:c r="J50" t="str">
        <x:v>공식주소기반(미변환)</x:v>
      </x:c>
      <x:c r="K50" t="str">
        <x:v>2022-01-03</x:v>
      </x:c>
      <x:c r="L50" t="str">
        <x:v>영업중</x:v>
      </x:c>
      <x:c r="M50" t="str">
        <x:v>일반</x:v>
      </x:c>
      <x:c r="N50" t="str">
        <x:v>관광지 인접</x:v>
      </x:c>
      <x:c r="O50" t="str">
        <x:v>2024-04-22</x:v>
      </x:c>
      <x:c r="P50" t="str">
        <x:v>경미</x:v>
      </x:c>
      <x:c r="Q50" t="str">
        <x:v>담당3</x:v>
      </x:c>
      <x:c r="R50" t="str">
        <x:v>가상 데이터 / 실제 업체 아님</x:v>
      </x:c>
    </x:row>
    <x:row r="51" ht="21" customHeight="1">
      <x:c r="A51" t="str">
        <x:v>EXA-0050</x:v>
      </x:c>
      <x:c r="B51" t="str">
        <x:v>동서원외환서비스 050호</x:v>
      </x:c>
      <x:c r="C51" t="str">
        <x:v>박지빈</x:v>
      </x:c>
      <x:c r="D51" t="str">
        <x:v>경기도</x:v>
      </x:c>
      <x:c r="E51" t="str">
        <x:v>안산시</x:v>
      </x:c>
      <x:c r="F51" t="str">
        <x:v>상록구</x:v>
      </x:c>
      <x:c r="G51" t="str">
        <x:v>경기도 안산시 상록구 석호로 349</x:v>
      </x:c>
      <x:c r="H51"/>
      <x:c r="I51"/>
      <x:c r="J51" t="str">
        <x:v>공식주소기반(미변환)</x:v>
      </x:c>
      <x:c r="K51" t="str">
        <x:v>2012-04-09</x:v>
      </x:c>
      <x:c r="L51" t="str">
        <x:v>영업중</x:v>
      </x:c>
      <x:c r="M51" t="str">
        <x:v>일반</x:v>
      </x:c>
      <x:c r="N51" t="str">
        <x:v>상업지역</x:v>
      </x:c>
      <x:c r="O51" t="str">
        <x:v>2024-08-10</x:v>
      </x:c>
      <x:c r="P51" t="str">
        <x:v>없음</x:v>
      </x:c>
      <x:c r="Q51" t="str">
        <x:v>담당1</x:v>
      </x:c>
      <x:c r="R51" t="str">
        <x:v>가상 데이터 / 실제 업체 아님</x:v>
      </x:c>
    </x:row>
    <x:row r="52" ht="21" customHeight="1">
      <x:c r="A52" t="str">
        <x:v>EXA-0051</x:v>
      </x:c>
      <x:c r="B52" t="str">
        <x:v>단원스타머니체인지 051호</x:v>
      </x:c>
      <x:c r="C52" t="str">
        <x:v>신민아</x:v>
      </x:c>
      <x:c r="D52" t="str">
        <x:v>경기도</x:v>
      </x:c>
      <x:c r="E52" t="str">
        <x:v>안산시</x:v>
      </x:c>
      <x:c r="F52" t="str">
        <x:v>단원구</x:v>
      </x:c>
      <x:c r="G52" t="str">
        <x:v>경기도 안산시 단원구 선부로 273</x:v>
      </x:c>
      <x:c r="H52"/>
      <x:c r="I52"/>
      <x:c r="J52" t="str">
        <x:v>공식주소기반(미변환)</x:v>
      </x:c>
      <x:c r="K52" t="str">
        <x:v>2024-08-19</x:v>
      </x:c>
      <x:c r="L52" t="str">
        <x:v>영업중</x:v>
      </x:c>
      <x:c r="M52" t="str">
        <x:v>법인</x:v>
      </x:c>
      <x:c r="N52" t="str">
        <x:v>일반</x:v>
      </x:c>
      <x:c r="O52" t="str">
        <x:v>2023-05-07</x:v>
      </x:c>
      <x:c r="P52" t="str">
        <x:v>없음</x:v>
      </x:c>
      <x:c r="Q52" t="str">
        <x:v>담당1</x:v>
      </x:c>
      <x:c r="R52" t="str">
        <x:v>가상 데이터 / 실제 업체 아님</x:v>
      </x:c>
    </x:row>
    <x:row r="53" ht="21" customHeight="1">
      <x:c r="A53" t="str">
        <x:v>EXA-0052</x:v>
      </x:c>
      <x:c r="B53" t="str">
        <x:v>다온원환전소 052호</x:v>
      </x:c>
      <x:c r="C53" t="str">
        <x:v>김준희</x:v>
      </x:c>
      <x:c r="D53" t="str">
        <x:v>경기도</x:v>
      </x:c>
      <x:c r="E53" t="str">
        <x:v>안산시</x:v>
      </x:c>
      <x:c r="F53" t="str">
        <x:v>단원구</x:v>
      </x:c>
      <x:c r="G53" t="str">
        <x:v>경기도 안산시 단원구 초지동로 67</x:v>
      </x:c>
      <x:c r="H53"/>
      <x:c r="I53"/>
      <x:c r="J53" t="str">
        <x:v>공식주소기반(미변환)</x:v>
      </x:c>
      <x:c r="K53" t="str">
        <x:v>2011-07-06</x:v>
      </x:c>
      <x:c r="L53" t="str">
        <x:v>휴업</x:v>
      </x:c>
      <x:c r="M53" t="str">
        <x:v>일반</x:v>
      </x:c>
      <x:c r="N53" t="str">
        <x:v>관광지 인접</x:v>
      </x:c>
      <x:c r="O53" t="str">
        <x:v>2024-12-09</x:v>
      </x:c>
      <x:c r="P53" t="str">
        <x:v>경미</x:v>
      </x:c>
      <x:c r="Q53" t="str">
        <x:v>담당4</x:v>
      </x:c>
      <x:c r="R53" t="str">
        <x:v>가상 데이터 / 실제 업체 아님</x:v>
      </x:c>
    </x:row>
    <x:row r="54" ht="21" customHeight="1">
      <x:c r="A54" t="str">
        <x:v>EXA-0053</x:v>
      </x:c>
      <x:c r="B54" t="str">
        <x:v>이음프라임환전 053호</x:v>
      </x:c>
      <x:c r="C54" t="str">
        <x:v>이태지</x:v>
      </x:c>
      <x:c r="D54" t="str">
        <x:v>경기도</x:v>
      </x:c>
      <x:c r="E54" t="str">
        <x:v>안산시</x:v>
      </x:c>
      <x:c r="F54" t="str">
        <x:v>상록구</x:v>
      </x:c>
      <x:c r="G54" t="str">
        <x:v>경기도 안산시 상록구 석호로 171</x:v>
      </x:c>
      <x:c r="H54"/>
      <x:c r="I54"/>
      <x:c r="J54" t="str">
        <x:v>공식주소기반(미변환)</x:v>
      </x:c>
      <x:c r="K54" t="str">
        <x:v>2024-12-07</x:v>
      </x:c>
      <x:c r="L54" t="str">
        <x:v>영업중</x:v>
      </x:c>
      <x:c r="M54" t="str">
        <x:v>일반</x:v>
      </x:c>
      <x:c r="N54" t="str">
        <x:v>주거지역</x:v>
      </x:c>
      <x:c r="O54" t="str">
        <x:v>2021-08-26</x:v>
      </x:c>
      <x:c r="P54" t="str">
        <x:v>없음</x:v>
      </x:c>
      <x:c r="Q54" t="str">
        <x:v>담당2</x:v>
      </x:c>
      <x:c r="R54" t="str">
        <x:v>가상 데이터 / 실제 업체 아님</x:v>
      </x:c>
    </x:row>
    <x:row r="55" ht="21" customHeight="1">
      <x:c r="A55" t="str">
        <x:v>EXA-0054</x:v>
      </x:c>
      <x:c r="B55" t="str">
        <x:v>안산플러스머니체인지 054호</x:v>
      </x:c>
      <x:c r="C55" t="str">
        <x:v>조영지</x:v>
      </x:c>
      <x:c r="D55" t="str">
        <x:v>경기도</x:v>
      </x:c>
      <x:c r="E55" t="str">
        <x:v>안산시</x:v>
      </x:c>
      <x:c r="F55" t="str">
        <x:v>상록구</x:v>
      </x:c>
      <x:c r="G55" t="str">
        <x:v>경기도 안산시 상록구 시낭북로 4</x:v>
      </x:c>
      <x:c r="H55"/>
      <x:c r="I55"/>
      <x:c r="J55" t="str">
        <x:v>공식주소기반(미변환)</x:v>
      </x:c>
      <x:c r="K55" t="str">
        <x:v>2012-07-31</x:v>
      </x:c>
      <x:c r="L55" t="str">
        <x:v>휴업</x:v>
      </x:c>
      <x:c r="M55" t="str">
        <x:v>법인</x:v>
      </x:c>
      <x:c r="N55" t="str">
        <x:v>상업지역</x:v>
      </x:c>
      <x:c r="O55" t="str">
        <x:v>2026-01-20</x:v>
      </x:c>
      <x:c r="P55" t="str">
        <x:v>경미</x:v>
      </x:c>
      <x:c r="Q55" t="str">
        <x:v>담당2</x:v>
      </x:c>
      <x:c r="R55" t="str">
        <x:v>가상 데이터 / 실제 업체 아님</x:v>
      </x:c>
    </x:row>
    <x:row r="56" ht="21" customHeight="1">
      <x:c r="A56" t="str">
        <x:v>EXA-0055</x:v>
      </x:c>
      <x:c r="B56" t="str">
        <x:v>스마트스타머니체인지 055호</x:v>
      </x:c>
      <x:c r="C56" t="str">
        <x:v>정영석</x:v>
      </x:c>
      <x:c r="D56" t="str">
        <x:v>경기도</x:v>
      </x:c>
      <x:c r="E56" t="str">
        <x:v>안산시</x:v>
      </x:c>
      <x:c r="F56" t="str">
        <x:v>단원구</x:v>
      </x:c>
      <x:c r="G56" t="str">
        <x:v>경기도 안산시 단원구 광덕2로 125</x:v>
      </x:c>
      <x:c r="H56"/>
      <x:c r="I56"/>
      <x:c r="J56" t="str">
        <x:v>공식주소기반(미변환)</x:v>
      </x:c>
      <x:c r="K56" t="str">
        <x:v>2015-07-21</x:v>
      </x:c>
      <x:c r="L56" t="str">
        <x:v>영업중</x:v>
      </x:c>
      <x:c r="M56" t="str">
        <x:v>일반</x:v>
      </x:c>
      <x:c r="N56" t="str">
        <x:v>주거지역</x:v>
      </x:c>
      <x:c r="O56" t="str">
        <x:v>2021-01-18</x:v>
      </x:c>
      <x:c r="P56" t="str">
        <x:v>중대</x:v>
      </x:c>
      <x:c r="Q56" t="str">
        <x:v>담당2</x:v>
      </x:c>
      <x:c r="R56" t="str">
        <x:v>가상 데이터 / 실제 업체 아님</x:v>
      </x:c>
    </x:row>
    <x:row r="57" ht="21" customHeight="1">
      <x:c r="A57" t="str">
        <x:v>EXA-0056</x:v>
      </x:c>
      <x:c r="B57" t="str">
        <x:v>한마음프라임환전소 056호</x:v>
      </x:c>
      <x:c r="C57" t="str">
        <x:v>김영희</x:v>
      </x:c>
      <x:c r="D57" t="str">
        <x:v>경기도</x:v>
      </x:c>
      <x:c r="E57" t="str">
        <x:v>안산시</x:v>
      </x:c>
      <x:c r="F57" t="str">
        <x:v>단원구</x:v>
      </x:c>
      <x:c r="G57" t="str">
        <x:v>경기도 안산시 단원구 선삼로 47</x:v>
      </x:c>
      <x:c r="H57"/>
      <x:c r="I57"/>
      <x:c r="J57" t="str">
        <x:v>공식주소기반(미변환)</x:v>
      </x:c>
      <x:c r="K57" t="str">
        <x:v>2021-09-14</x:v>
      </x:c>
      <x:c r="L57" t="str">
        <x:v>영업중</x:v>
      </x:c>
      <x:c r="M57" t="str">
        <x:v>일반</x:v>
      </x:c>
      <x:c r="N57" t="str">
        <x:v>일반</x:v>
      </x:c>
      <x:c r="O57" t="str">
        <x:v>2021-07-23</x:v>
      </x:c>
      <x:c r="P57" t="str">
        <x:v>없음</x:v>
      </x:c>
      <x:c r="Q57" t="str">
        <x:v>담당2</x:v>
      </x:c>
      <x:c r="R57" t="str">
        <x:v>가상 데이터 / 실제 업체 아님</x:v>
      </x:c>
    </x:row>
    <x:row r="58" ht="21" customHeight="1">
      <x:c r="A58" t="str">
        <x:v>EXA-0057</x:v>
      </x:c>
      <x:c r="B58" t="str">
        <x:v>태양프라임머니체인지 057호</x:v>
      </x:c>
      <x:c r="C58" t="str">
        <x:v>임하희</x:v>
      </x:c>
      <x:c r="D58" t="str">
        <x:v>경기도</x:v>
      </x:c>
      <x:c r="E58" t="str">
        <x:v>안산시</x:v>
      </x:c>
      <x:c r="F58" t="str">
        <x:v>상록구</x:v>
      </x:c>
      <x:c r="G58" t="str">
        <x:v>경기도 안산시 상록구 샘골로 16</x:v>
      </x:c>
      <x:c r="H58"/>
      <x:c r="I58"/>
      <x:c r="J58" t="str">
        <x:v>공식주소기반(미변환)</x:v>
      </x:c>
      <x:c r="K58" t="str">
        <x:v>2018-11-03</x:v>
      </x:c>
      <x:c r="L58" t="str">
        <x:v>영업중</x:v>
      </x:c>
      <x:c r="M58" t="str">
        <x:v>법인</x:v>
      </x:c>
      <x:c r="N58" t="str">
        <x:v>일반</x:v>
      </x:c>
      <x:c r="O58" t="str">
        <x:v>2025-07-01</x:v>
      </x:c>
      <x:c r="P58" t="str">
        <x:v>없음</x:v>
      </x:c>
      <x:c r="Q58" t="str">
        <x:v>담당3</x:v>
      </x:c>
      <x:c r="R58" t="str">
        <x:v>가상 데이터 / 실제 업체 아님</x:v>
      </x:c>
    </x:row>
    <x:row r="59" ht="21" customHeight="1">
      <x:c r="A59" t="str">
        <x:v>EXA-0058</x:v>
      </x:c>
      <x:c r="B59" t="str">
        <x:v>글로벌프라임환전 058호</x:v>
      </x:c>
      <x:c r="C59" t="str">
        <x:v>강은아</x:v>
      </x:c>
      <x:c r="D59" t="str">
        <x:v>경기도</x:v>
      </x:c>
      <x:c r="E59" t="str">
        <x:v>안산시</x:v>
      </x:c>
      <x:c r="F59" t="str">
        <x:v>상록구</x:v>
      </x:c>
      <x:c r="G59" t="str">
        <x:v>경기도 안산시 상록구 장하로 315</x:v>
      </x:c>
      <x:c r="H59"/>
      <x:c r="I59"/>
      <x:c r="J59" t="str">
        <x:v>공식주소기반(미변환)</x:v>
      </x:c>
      <x:c r="K59" t="str">
        <x:v>2025-09-22</x:v>
      </x:c>
      <x:c r="L59" t="str">
        <x:v>영업중</x:v>
      </x:c>
      <x:c r="M59" t="str">
        <x:v>법인</x:v>
      </x:c>
      <x:c r="N59" t="str">
        <x:v>일반</x:v>
      </x:c>
      <x:c r="O59" t="str">
        <x:v>2021-10-29</x:v>
      </x:c>
      <x:c r="P59" t="str">
        <x:v>없음</x:v>
      </x:c>
      <x:c r="Q59" t="str">
        <x:v>담당2</x:v>
      </x:c>
      <x:c r="R59" t="str">
        <x:v>가상 데이터 / 실제 업체 아님</x:v>
      </x:c>
    </x:row>
    <x:row r="60" ht="21" customHeight="1">
      <x:c r="A60" t="str">
        <x:v>EXA-0059</x:v>
      </x:c>
      <x:c r="B60" t="str">
        <x:v>상록플러스익스체인지 059호</x:v>
      </x:c>
      <x:c r="C60" t="str">
        <x:v>황태진</x:v>
      </x:c>
      <x:c r="D60" t="str">
        <x:v>경기도</x:v>
      </x:c>
      <x:c r="E60" t="str">
        <x:v>안산시</x:v>
      </x:c>
      <x:c r="F60" t="str">
        <x:v>단원구</x:v>
      </x:c>
      <x:c r="G60" t="str">
        <x:v>경기도 안산시 단원구 삼일로 42-7</x:v>
      </x:c>
      <x:c r="H60"/>
      <x:c r="I60"/>
      <x:c r="J60" t="str">
        <x:v>공식주소기반(미변환)</x:v>
      </x:c>
      <x:c r="K60" t="str">
        <x:v>2012-02-18</x:v>
      </x:c>
      <x:c r="L60" t="str">
        <x:v>폐업</x:v>
      </x:c>
      <x:c r="M60" t="str">
        <x:v>법인</x:v>
      </x:c>
      <x:c r="N60" t="str">
        <x:v>관광지 인접</x:v>
      </x:c>
      <x:c r="O60" t="str">
        <x:v>2025-11-20</x:v>
      </x:c>
      <x:c r="P60" t="str">
        <x:v>중대</x:v>
      </x:c>
      <x:c r="Q60" t="str">
        <x:v>담당3</x:v>
      </x:c>
      <x:c r="R60" t="str">
        <x:v>가상 데이터 / 실제 업체 아님</x:v>
      </x:c>
    </x:row>
    <x:row r="61" ht="21" customHeight="1">
      <x:c r="A61" t="str">
        <x:v>EXA-0060</x:v>
      </x:c>
      <x:c r="B61" t="str">
        <x:v>해솔스타익스체인지 060호</x:v>
      </x:c>
      <x:c r="C61" t="str">
        <x:v>권서진</x:v>
      </x:c>
      <x:c r="D61" t="str">
        <x:v>경기도</x:v>
      </x:c>
      <x:c r="E61" t="str">
        <x:v>안산시</x:v>
      </x:c>
      <x:c r="F61" t="str">
        <x:v>상록구</x:v>
      </x:c>
      <x:c r="G61" t="str">
        <x:v>경기도 안산시 상록구 이동로 46</x:v>
      </x:c>
      <x:c r="H61"/>
      <x:c r="I61"/>
      <x:c r="J61" t="str">
        <x:v>공식주소기반(미변환)</x:v>
      </x:c>
      <x:c r="K61" t="str">
        <x:v>2017-01-29</x:v>
      </x:c>
      <x:c r="L61" t="str">
        <x:v>영업중</x:v>
      </x:c>
      <x:c r="M61" t="str">
        <x:v>법인</x:v>
      </x:c>
      <x:c r="N61" t="str">
        <x:v>관광지 인접</x:v>
      </x:c>
      <x:c r="O61" t="str">
        <x:v>2025-12-08</x:v>
      </x:c>
      <x:c r="P61" t="str">
        <x:v>없음</x:v>
      </x:c>
      <x:c r="Q61" t="str">
        <x:v>담당1</x:v>
      </x:c>
      <x:c r="R61" t="str">
        <x:v>가상 데이터 / 실제 업체 아님</x:v>
      </x:c>
    </x:row>
    <x:row r="62" ht="21" customHeight="1">
      <x:c r="A62" t="str">
        <x:v>EXA-0061</x:v>
      </x:c>
      <x:c r="B62" t="str">
        <x:v>미래머니체인지 061호</x:v>
      </x:c>
      <x:c r="C62" t="str">
        <x:v>황영빈</x:v>
      </x:c>
      <x:c r="D62" t="str">
        <x:v>경기도</x:v>
      </x:c>
      <x:c r="E62" t="str">
        <x:v>안산시</x:v>
      </x:c>
      <x:c r="F62" t="str">
        <x:v>상록구</x:v>
      </x:c>
      <x:c r="G62" t="str">
        <x:v>경기도 안산시 상록구 성호로 326</x:v>
      </x:c>
      <x:c r="H62"/>
      <x:c r="I62"/>
      <x:c r="J62" t="str">
        <x:v>공식주소기반(미변환)</x:v>
      </x:c>
      <x:c r="K62" t="str">
        <x:v>2025-07-12</x:v>
      </x:c>
      <x:c r="L62" t="str">
        <x:v>영업중</x:v>
      </x:c>
      <x:c r="M62" t="str">
        <x:v>개인</x:v>
      </x:c>
      <x:c r="N62" t="str">
        <x:v>일반</x:v>
      </x:c>
      <x:c r="O62" t="str">
        <x:v>2021-05-30</x:v>
      </x:c>
      <x:c r="P62" t="str">
        <x:v>경미</x:v>
      </x:c>
      <x:c r="Q62" t="str">
        <x:v>담당1</x:v>
      </x:c>
      <x:c r="R62" t="str">
        <x:v>가상 데이터 / 실제 업체 아님</x:v>
      </x:c>
    </x:row>
    <x:row r="63" ht="21" customHeight="1">
      <x:c r="A63" t="str">
        <x:v>EXA-0062</x:v>
      </x:c>
      <x:c r="B63" t="str">
        <x:v>삼일프라임익스체인지 062호</x:v>
      </x:c>
      <x:c r="C63" t="str">
        <x:v>황수현</x:v>
      </x:c>
      <x:c r="D63" t="str">
        <x:v>경기도</x:v>
      </x:c>
      <x:c r="E63" t="str">
        <x:v>안산시</x:v>
      </x:c>
      <x:c r="F63" t="str">
        <x:v>단원구</x:v>
      </x:c>
      <x:c r="G63" t="str">
        <x:v>경기도 안산시 단원구 예술대학로 76</x:v>
      </x:c>
      <x:c r="H63"/>
      <x:c r="I63"/>
      <x:c r="J63" t="str">
        <x:v>공식주소기반(미변환)</x:v>
      </x:c>
      <x:c r="K63" t="str">
        <x:v>2013-11-19</x:v>
      </x:c>
      <x:c r="L63" t="str">
        <x:v>영업중</x:v>
      </x:c>
      <x:c r="M63" t="str">
        <x:v>개인</x:v>
      </x:c>
      <x:c r="N63" t="str">
        <x:v>주거지역</x:v>
      </x:c>
      <x:c r="O63" t="str">
        <x:v>2025-01-04</x:v>
      </x:c>
      <x:c r="P63" t="str">
        <x:v>없음</x:v>
      </x:c>
      <x:c r="Q63" t="str">
        <x:v>담당1</x:v>
      </x:c>
      <x:c r="R63" t="str">
        <x:v>가상 데이터 / 실제 업체 아님</x:v>
      </x:c>
    </x:row>
    <x:row r="64" ht="21" customHeight="1">
      <x:c r="A64" t="str">
        <x:v>EXA-0063</x:v>
      </x:c>
      <x:c r="B64" t="str">
        <x:v>세계외환서비스 063호</x:v>
      </x:c>
      <x:c r="C64" t="str">
        <x:v>김수아</x:v>
      </x:c>
      <x:c r="D64" t="str">
        <x:v>경기도</x:v>
      </x:c>
      <x:c r="E64" t="str">
        <x:v>안산시</x:v>
      </x:c>
      <x:c r="F64" t="str">
        <x:v>단원구</x:v>
      </x:c>
      <x:c r="G64" t="str">
        <x:v>경기도 안산시 단원구 지곡로 46</x:v>
      </x:c>
      <x:c r="H64"/>
      <x:c r="I64"/>
      <x:c r="J64" t="str">
        <x:v>공식주소기반(미변환)</x:v>
      </x:c>
      <x:c r="K64" t="str">
        <x:v>2024-03-28</x:v>
      </x:c>
      <x:c r="L64" t="str">
        <x:v>영업중</x:v>
      </x:c>
      <x:c r="M64" t="str">
        <x:v>개인</x:v>
      </x:c>
      <x:c r="N64" t="str">
        <x:v>일반</x:v>
      </x:c>
      <x:c r="O64" t="str">
        <x:v>2024-12-03</x:v>
      </x:c>
      <x:c r="P64" t="str">
        <x:v>없음</x:v>
      </x:c>
      <x:c r="Q64" t="str">
        <x:v>담당3</x:v>
      </x:c>
      <x:c r="R64" t="str">
        <x:v>가상 데이터 / 실제 업체 아님</x:v>
      </x:c>
    </x:row>
    <x:row r="65" ht="21" customHeight="1">
      <x:c r="A65" t="str">
        <x:v>EXA-0064</x:v>
      </x:c>
      <x:c r="B65" t="str">
        <x:v>신세계플러스환전 064호</x:v>
      </x:c>
      <x:c r="C65" t="str">
        <x:v>임예빈</x:v>
      </x:c>
      <x:c r="D65" t="str">
        <x:v>경기도</x:v>
      </x:c>
      <x:c r="E65" t="str">
        <x:v>안산시</x:v>
      </x:c>
      <x:c r="F65" t="str">
        <x:v>상록구</x:v>
      </x:c>
      <x:c r="G65" t="str">
        <x:v>경기도 안산시 상록구 해양로 8</x:v>
      </x:c>
      <x:c r="H65"/>
      <x:c r="I65"/>
      <x:c r="J65" t="str">
        <x:v>공식주소기반(미변환)</x:v>
      </x:c>
      <x:c r="K65" t="str">
        <x:v>2023-07-11</x:v>
      </x:c>
      <x:c r="L65" t="str">
        <x:v>영업중</x:v>
      </x:c>
      <x:c r="M65" t="str">
        <x:v>개인</x:v>
      </x:c>
      <x:c r="N65" t="str">
        <x:v>관광지 인접</x:v>
      </x:c>
      <x:c r="O65" t="str">
        <x:v>2022-11-08</x:v>
      </x:c>
      <x:c r="P65" t="str">
        <x:v>경미</x:v>
      </x:c>
      <x:c r="Q65" t="str">
        <x:v>담당3</x:v>
      </x:c>
      <x:c r="R65" t="str">
        <x:v>가상 데이터 / 실제 업체 아님</x:v>
      </x:c>
    </x:row>
    <x:row r="66" ht="21" customHeight="1">
      <x:c r="A66" t="str">
        <x:v>EXA-0065</x:v>
      </x:c>
      <x:c r="B66" t="str">
        <x:v>국제환전소 065호</x:v>
      </x:c>
      <x:c r="C66" t="str">
        <x:v>조하진</x:v>
      </x:c>
      <x:c r="D66" t="str">
        <x:v>경기도</x:v>
      </x:c>
      <x:c r="E66" t="str">
        <x:v>안산시</x:v>
      </x:c>
      <x:c r="F66" t="str">
        <x:v>상록구</x:v>
      </x:c>
      <x:c r="G66" t="str">
        <x:v>경기도 안산시 상록구 건건로 51</x:v>
      </x:c>
      <x:c r="H66"/>
      <x:c r="I66"/>
      <x:c r="J66" t="str">
        <x:v>공식주소기반(미변환)</x:v>
      </x:c>
      <x:c r="K66" t="str">
        <x:v>2016-05-31</x:v>
      </x:c>
      <x:c r="L66" t="str">
        <x:v>영업중</x:v>
      </x:c>
      <x:c r="M66" t="str">
        <x:v>법인</x:v>
      </x:c>
      <x:c r="N66" t="str">
        <x:v>일반</x:v>
      </x:c>
      <x:c r="O66" t="str">
        <x:v>2024-07-26</x:v>
      </x:c>
      <x:c r="P66" t="str">
        <x:v>없음</x:v>
      </x:c>
      <x:c r="Q66" t="str">
        <x:v>담당1</x:v>
      </x:c>
      <x:c r="R66" t="str">
        <x:v>가상 데이터 / 실제 업체 아님</x:v>
      </x:c>
    </x:row>
    <x:row r="67" ht="21" customHeight="1">
      <x:c r="A67" t="str">
        <x:v>EXA-0066</x:v>
      </x:c>
      <x:c r="B67" t="str">
        <x:v>글로벌플러스환전소 066호</x:v>
      </x:c>
      <x:c r="C67" t="str">
        <x:v>황서민</x:v>
      </x:c>
      <x:c r="D67" t="str">
        <x:v>경기도</x:v>
      </x:c>
      <x:c r="E67" t="str">
        <x:v>안산시</x:v>
      </x:c>
      <x:c r="F67" t="str">
        <x:v>단원구</x:v>
      </x:c>
      <x:c r="G67" t="str">
        <x:v>경기도 안산시 단원구 원선로 31</x:v>
      </x:c>
      <x:c r="H67"/>
      <x:c r="I67"/>
      <x:c r="J67" t="str">
        <x:v>공식주소기반(미변환)</x:v>
      </x:c>
      <x:c r="K67" t="str">
        <x:v>2012-12-04</x:v>
      </x:c>
      <x:c r="L67" t="str">
        <x:v>영업중</x:v>
      </x:c>
      <x:c r="M67" t="str">
        <x:v>법인</x:v>
      </x:c>
      <x:c r="N67" t="str">
        <x:v>일반</x:v>
      </x:c>
      <x:c r="O67" t="str">
        <x:v>2026-08-20</x:v>
      </x:c>
      <x:c r="P67" t="str">
        <x:v>없음</x:v>
      </x:c>
      <x:c r="Q67" t="str">
        <x:v>담당2</x:v>
      </x:c>
      <x:c r="R67" t="str">
        <x:v>가상 데이터 / 실제 업체 아님</x:v>
      </x:c>
    </x:row>
    <x:row r="68" ht="21" customHeight="1">
      <x:c r="A68" t="str">
        <x:v>EXA-0067</x:v>
      </x:c>
      <x:c r="B68" t="str">
        <x:v>한성프라임환전소 067호</x:v>
      </x:c>
      <x:c r="C68" t="str">
        <x:v>오도우</x:v>
      </x:c>
      <x:c r="D68" t="str">
        <x:v>경기도</x:v>
      </x:c>
      <x:c r="E68" t="str">
        <x:v>안산시</x:v>
      </x:c>
      <x:c r="F68" t="str">
        <x:v>상록구</x:v>
      </x:c>
      <x:c r="G68" t="str">
        <x:v>경기도 안산시 상록구 성호로 53</x:v>
      </x:c>
      <x:c r="H68"/>
      <x:c r="I68"/>
      <x:c r="J68" t="str">
        <x:v>공식주소기반(미변환)</x:v>
      </x:c>
      <x:c r="K68" t="str">
        <x:v>2013-07-10</x:v>
      </x:c>
      <x:c r="L68" t="str">
        <x:v>휴업</x:v>
      </x:c>
      <x:c r="M68" t="str">
        <x:v>개인</x:v>
      </x:c>
      <x:c r="N68" t="str">
        <x:v>상업지역</x:v>
      </x:c>
      <x:c r="O68" t="str">
        <x:v>2026-09-18</x:v>
      </x:c>
      <x:c r="P68" t="str">
        <x:v>경미</x:v>
      </x:c>
      <x:c r="Q68" t="str">
        <x:v>담당2</x:v>
      </x:c>
      <x:c r="R68" t="str">
        <x:v>가상 데이터 / 실제 업체 아님</x:v>
      </x:c>
    </x:row>
    <x:row r="69" ht="21" customHeight="1">
      <x:c r="A69" t="str">
        <x:v>EXA-0068</x:v>
      </x:c>
      <x:c r="B69" t="str">
        <x:v>새빛플러스외환서비스 068호</x:v>
      </x:c>
      <x:c r="C69" t="str">
        <x:v>최서지</x:v>
      </x:c>
      <x:c r="D69" t="str">
        <x:v>경기도</x:v>
      </x:c>
      <x:c r="E69" t="str">
        <x:v>안산시</x:v>
      </x:c>
      <x:c r="F69" t="str">
        <x:v>상록구</x:v>
      </x:c>
      <x:c r="G69" t="str">
        <x:v>경기도 안산시 상록구 용신로 376</x:v>
      </x:c>
      <x:c r="H69"/>
      <x:c r="I69"/>
      <x:c r="J69" t="str">
        <x:v>공식주소기반(미변환)</x:v>
      </x:c>
      <x:c r="K69" t="str">
        <x:v>2013-08-27</x:v>
      </x:c>
      <x:c r="L69" t="str">
        <x:v>영업중</x:v>
      </x:c>
      <x:c r="M69" t="str">
        <x:v>법인</x:v>
      </x:c>
      <x:c r="N69" t="str">
        <x:v>상업지역</x:v>
      </x:c>
      <x:c r="O69" t="str">
        <x:v>2024-07-01</x:v>
      </x:c>
      <x:c r="P69" t="str">
        <x:v>경미</x:v>
      </x:c>
      <x:c r="Q69" t="str">
        <x:v>담당3</x:v>
      </x:c>
      <x:c r="R69" t="str">
        <x:v>가상 데이터 / 실제 업체 아님</x:v>
      </x:c>
    </x:row>
    <x:row r="70" ht="21" customHeight="1">
      <x:c r="A70" t="str">
        <x:v>EXA-0069</x:v>
      </x:c>
      <x:c r="B70" t="str">
        <x:v>상록환전 069호</x:v>
      </x:c>
      <x:c r="C70" t="str">
        <x:v>한현아</x:v>
      </x:c>
      <x:c r="D70" t="str">
        <x:v>경기도</x:v>
      </x:c>
      <x:c r="E70" t="str">
        <x:v>안산시</x:v>
      </x:c>
      <x:c r="F70" t="str">
        <x:v>단원구</x:v>
      </x:c>
      <x:c r="G70" t="str">
        <x:v>경기도 안산시 단원구 화정천동로 252</x:v>
      </x:c>
      <x:c r="H70"/>
      <x:c r="I70"/>
      <x:c r="J70" t="str">
        <x:v>공식주소기반(미변환)</x:v>
      </x:c>
      <x:c r="K70" t="str">
        <x:v>2011-02-09</x:v>
      </x:c>
      <x:c r="L70" t="str">
        <x:v>영업중</x:v>
      </x:c>
      <x:c r="M70" t="str">
        <x:v>일반</x:v>
      </x:c>
      <x:c r="N70" t="str">
        <x:v>주거지역</x:v>
      </x:c>
      <x:c r="O70" t="str">
        <x:v>2022-07-27</x:v>
      </x:c>
      <x:c r="P70" t="str">
        <x:v>없음</x:v>
      </x:c>
      <x:c r="Q70" t="str">
        <x:v>담당3</x:v>
      </x:c>
      <x:c r="R70" t="str">
        <x:v>가상 데이터 / 실제 업체 아님</x:v>
      </x:c>
    </x:row>
    <x:row r="71" ht="21" customHeight="1">
      <x:c r="A71" t="str">
        <x:v>EXA-0070</x:v>
      </x:c>
      <x:c r="B71" t="str">
        <x:v>스마트원외환서비스 070호</x:v>
      </x:c>
      <x:c r="C71" t="str">
        <x:v>송민연</x:v>
      </x:c>
      <x:c r="D71" t="str">
        <x:v>경기도</x:v>
      </x:c>
      <x:c r="E71" t="str">
        <x:v>안산시</x:v>
      </x:c>
      <x:c r="F71" t="str">
        <x:v>단원구</x:v>
      </x:c>
      <x:c r="G71" t="str">
        <x:v>경기도 안산시 단원구 선부광장서로 47</x:v>
      </x:c>
      <x:c r="H71"/>
      <x:c r="I71"/>
      <x:c r="J71" t="str">
        <x:v>공식주소기반(미변환)</x:v>
      </x:c>
      <x:c r="K71" t="str">
        <x:v>2015-03-23</x:v>
      </x:c>
      <x:c r="L71" t="str">
        <x:v>영업중</x:v>
      </x:c>
      <x:c r="M71" t="str">
        <x:v>일반</x:v>
      </x:c>
      <x:c r="N71" t="str">
        <x:v>상업지역</x:v>
      </x:c>
      <x:c r="O71" t="str">
        <x:v>2026-09-19</x:v>
      </x:c>
      <x:c r="P71" t="str">
        <x:v>중대</x:v>
      </x:c>
      <x:c r="Q71" t="str">
        <x:v>담당4</x:v>
      </x:c>
      <x:c r="R71" t="str">
        <x:v>가상 데이터 / 실제 업체 아님</x:v>
      </x:c>
    </x:row>
    <x:row r="72" ht="21" customHeight="1">
      <x:c r="A72" t="str">
        <x:v>EXA-0071</x:v>
      </x:c>
      <x:c r="B72" t="str">
        <x:v>스마트프라임환전 071호</x:v>
      </x:c>
      <x:c r="C72" t="str">
        <x:v>박태민</x:v>
      </x:c>
      <x:c r="D72" t="str">
        <x:v>경기도</x:v>
      </x:c>
      <x:c r="E72" t="str">
        <x:v>안산시</x:v>
      </x:c>
      <x:c r="F72" t="str">
        <x:v>상록구</x:v>
      </x:c>
      <x:c r="G72" t="str">
        <x:v>경기도 안산시 상록구 감골1로 52</x:v>
      </x:c>
      <x:c r="H72"/>
      <x:c r="I72"/>
      <x:c r="J72" t="str">
        <x:v>공식주소기반(미변환)</x:v>
      </x:c>
      <x:c r="K72" t="str">
        <x:v>2011-09-06</x:v>
      </x:c>
      <x:c r="L72" t="str">
        <x:v>영업중</x:v>
      </x:c>
      <x:c r="M72" t="str">
        <x:v>일반</x:v>
      </x:c>
      <x:c r="N72" t="str">
        <x:v>일반</x:v>
      </x:c>
      <x:c r="O72" t="str">
        <x:v>2023-09-18</x:v>
      </x:c>
      <x:c r="P72" t="str">
        <x:v>경미</x:v>
      </x:c>
      <x:c r="Q72" t="str">
        <x:v>담당4</x:v>
      </x:c>
      <x:c r="R72" t="str">
        <x:v>가상 데이터 / 실제 업체 아님</x:v>
      </x:c>
    </x:row>
    <x:row r="73" ht="21" customHeight="1">
      <x:c r="A73" t="str">
        <x:v>EXA-0072</x:v>
      </x:c>
      <x:c r="B73" t="str">
        <x:v>국제플러스환전 072호</x:v>
      </x:c>
      <x:c r="C73" t="str">
        <x:v>조태호</x:v>
      </x:c>
      <x:c r="D73" t="str">
        <x:v>경기도</x:v>
      </x:c>
      <x:c r="E73" t="str">
        <x:v>안산시</x:v>
      </x:c>
      <x:c r="F73" t="str">
        <x:v>상록구</x:v>
      </x:c>
      <x:c r="G73" t="str">
        <x:v>경기도 안산시 상록구 충장로 468</x:v>
      </x:c>
      <x:c r="H73"/>
      <x:c r="I73"/>
      <x:c r="J73" t="str">
        <x:v>공식주소기반(미변환)</x:v>
      </x:c>
      <x:c r="K73" t="str">
        <x:v>2023-08-19</x:v>
      </x:c>
      <x:c r="L73" t="str">
        <x:v>영업중</x:v>
      </x:c>
      <x:c r="M73" t="str">
        <x:v>개인</x:v>
      </x:c>
      <x:c r="N73" t="str">
        <x:v>관광지 인접</x:v>
      </x:c>
      <x:c r="O73" t="str">
        <x:v>2022-08-17</x:v>
      </x:c>
      <x:c r="P73" t="str">
        <x:v>없음</x:v>
      </x:c>
      <x:c r="Q73" t="str">
        <x:v>담당3</x:v>
      </x:c>
      <x:c r="R73" t="str">
        <x:v>가상 데이터 / 실제 업체 아님</x:v>
      </x:c>
    </x:row>
    <x:row r="74" ht="21" customHeight="1">
      <x:c r="A74" t="str">
        <x:v>EXA-0073</x:v>
      </x:c>
      <x:c r="B74" t="str">
        <x:v>한빛스타머니체인지 073호</x:v>
      </x:c>
      <x:c r="C74" t="str">
        <x:v>윤하희</x:v>
      </x:c>
      <x:c r="D74" t="str">
        <x:v>경기도</x:v>
      </x:c>
      <x:c r="E74" t="str">
        <x:v>안산시</x:v>
      </x:c>
      <x:c r="F74" t="str">
        <x:v>단원구</x:v>
      </x:c>
      <x:c r="G74" t="str">
        <x:v>경기도 안산시 단원구 부부로 55</x:v>
      </x:c>
      <x:c r="H74"/>
      <x:c r="I74"/>
      <x:c r="J74" t="str">
        <x:v>공식주소기반(미변환)</x:v>
      </x:c>
      <x:c r="K74" t="str">
        <x:v>2018-09-12</x:v>
      </x:c>
      <x:c r="L74" t="str">
        <x:v>영업중</x:v>
      </x:c>
      <x:c r="M74" t="str">
        <x:v>개인</x:v>
      </x:c>
      <x:c r="N74" t="str">
        <x:v>주거지역</x:v>
      </x:c>
      <x:c r="O74" t="str">
        <x:v>2025-12-19</x:v>
      </x:c>
      <x:c r="P74" t="str">
        <x:v>없음</x:v>
      </x:c>
      <x:c r="Q74" t="str">
        <x:v>담당4</x:v>
      </x:c>
      <x:c r="R74" t="str">
        <x:v>가상 데이터 / 실제 업체 아님</x:v>
      </x:c>
    </x:row>
    <x:row r="75" ht="21" customHeight="1">
      <x:c r="A75" t="str">
        <x:v>EXA-0074</x:v>
      </x:c>
      <x:c r="B75" t="str">
        <x:v>다정플러스환전 074호</x:v>
      </x:c>
      <x:c r="C75" t="str">
        <x:v>안태현</x:v>
      </x:c>
      <x:c r="D75" t="str">
        <x:v>경기도</x:v>
      </x:c>
      <x:c r="E75" t="str">
        <x:v>안산시</x:v>
      </x:c>
      <x:c r="F75" t="str">
        <x:v>단원구</x:v>
      </x:c>
      <x:c r="G75" t="str">
        <x:v>경기도 안산시 단원구 대부중앙로 97-9</x:v>
      </x:c>
      <x:c r="H75"/>
      <x:c r="I75"/>
      <x:c r="J75" t="str">
        <x:v>공식주소기반(미변환)</x:v>
      </x:c>
      <x:c r="K75" t="str">
        <x:v>2025-05-25</x:v>
      </x:c>
      <x:c r="L75" t="str">
        <x:v>영업중</x:v>
      </x:c>
      <x:c r="M75" t="str">
        <x:v>개인</x:v>
      </x:c>
      <x:c r="N75" t="str">
        <x:v>일반</x:v>
      </x:c>
      <x:c r="O75" t="str">
        <x:v>2023-05-06</x:v>
      </x:c>
      <x:c r="P75" t="str">
        <x:v>없음</x:v>
      </x:c>
      <x:c r="Q75" t="str">
        <x:v>담당3</x:v>
      </x:c>
      <x:c r="R75" t="str">
        <x:v>가상 데이터 / 실제 업체 아님</x:v>
      </x:c>
    </x:row>
    <x:row r="76" ht="21" customHeight="1">
      <x:c r="A76" t="str">
        <x:v>EXA-0075</x:v>
      </x:c>
      <x:c r="B76" t="str">
        <x:v>동서플러스환전 075호</x:v>
      </x:c>
      <x:c r="C76" t="str">
        <x:v>윤성빈</x:v>
      </x:c>
      <x:c r="D76" t="str">
        <x:v>경기도</x:v>
      </x:c>
      <x:c r="E76" t="str">
        <x:v>안산시</x:v>
      </x:c>
      <x:c r="F76" t="str">
        <x:v>상록구</x:v>
      </x:c>
      <x:c r="G76" t="str">
        <x:v>경기도 안산시 상록구 석호로 349</x:v>
      </x:c>
      <x:c r="H76"/>
      <x:c r="I76"/>
      <x:c r="J76" t="str">
        <x:v>공식주소기반(미변환)</x:v>
      </x:c>
      <x:c r="K76" t="str">
        <x:v>2018-07-12</x:v>
      </x:c>
      <x:c r="L76" t="str">
        <x:v>영업중</x:v>
      </x:c>
      <x:c r="M76" t="str">
        <x:v>일반</x:v>
      </x:c>
      <x:c r="N76" t="str">
        <x:v>관광지 인접</x:v>
      </x:c>
      <x:c r="O76" t="str">
        <x:v>2026-02-10</x:v>
      </x:c>
      <x:c r="P76" t="str">
        <x:v>없음</x:v>
      </x:c>
      <x:c r="Q76" t="str">
        <x:v>담당3</x:v>
      </x:c>
      <x:c r="R76" t="str">
        <x:v>가상 데이터 / 실제 업체 아님</x:v>
      </x:c>
    </x:row>
    <x:row r="77" ht="21" customHeight="1">
      <x:c r="A77" t="str">
        <x:v>EXA-0076</x:v>
      </x:c>
      <x:c r="B77" t="str">
        <x:v>오션원환전 076호</x:v>
      </x:c>
      <x:c r="C77" t="str">
        <x:v>서서민</x:v>
      </x:c>
      <x:c r="D77" t="str">
        <x:v>경기도</x:v>
      </x:c>
      <x:c r="E77" t="str">
        <x:v>안산시</x:v>
      </x:c>
      <x:c r="F77" t="str">
        <x:v>단원구</x:v>
      </x:c>
      <x:c r="G77" t="str">
        <x:v>경기도 안산시 단원구 선부로 273</x:v>
      </x:c>
      <x:c r="H77"/>
      <x:c r="I77"/>
      <x:c r="J77" t="str">
        <x:v>공식주소기반(미변환)</x:v>
      </x:c>
      <x:c r="K77" t="str">
        <x:v>2013-03-27</x:v>
      </x:c>
      <x:c r="L77" t="str">
        <x:v>영업중</x:v>
      </x:c>
      <x:c r="M77" t="str">
        <x:v>법인</x:v>
      </x:c>
      <x:c r="N77" t="str">
        <x:v>주거지역</x:v>
      </x:c>
      <x:c r="O77" t="str">
        <x:v>2021-07-19</x:v>
      </x:c>
      <x:c r="P77" t="str">
        <x:v>경미</x:v>
      </x:c>
      <x:c r="Q77" t="str">
        <x:v>담당2</x:v>
      </x:c>
      <x:c r="R77" t="str">
        <x:v>가상 데이터 / 실제 업체 아님</x:v>
      </x:c>
    </x:row>
    <x:row r="78" ht="21" customHeight="1">
      <x:c r="A78" t="str">
        <x:v>EXA-0077</x:v>
      </x:c>
      <x:c r="B78" t="str">
        <x:v>삼일플러스환전 077호</x:v>
      </x:c>
      <x:c r="C78" t="str">
        <x:v>조예준</x:v>
      </x:c>
      <x:c r="D78" t="str">
        <x:v>경기도</x:v>
      </x:c>
      <x:c r="E78" t="str">
        <x:v>안산시</x:v>
      </x:c>
      <x:c r="F78" t="str">
        <x:v>단원구</x:v>
      </x:c>
      <x:c r="G78" t="str">
        <x:v>경기도 안산시 단원구 초지동로 67</x:v>
      </x:c>
      <x:c r="H78"/>
      <x:c r="I78"/>
      <x:c r="J78" t="str">
        <x:v>공식주소기반(미변환)</x:v>
      </x:c>
      <x:c r="K78" t="str">
        <x:v>2017-02-15</x:v>
      </x:c>
      <x:c r="L78" t="str">
        <x:v>영업중</x:v>
      </x:c>
      <x:c r="M78" t="str">
        <x:v>개인</x:v>
      </x:c>
      <x:c r="N78" t="str">
        <x:v>상업지역</x:v>
      </x:c>
      <x:c r="O78" t="str">
        <x:v>2024-11-05</x:v>
      </x:c>
      <x:c r="P78" t="str">
        <x:v>없음</x:v>
      </x:c>
      <x:c r="Q78" t="str">
        <x:v>담당1</x:v>
      </x:c>
      <x:c r="R78" t="str">
        <x:v>가상 데이터 / 실제 업체 아님</x:v>
      </x:c>
    </x:row>
    <x:row r="79" ht="21" customHeight="1">
      <x:c r="A79" t="str">
        <x:v>EXA-0078</x:v>
      </x:c>
      <x:c r="B79" t="str">
        <x:v>스마트플러스익스체인지 078호</x:v>
      </x:c>
      <x:c r="C79" t="str">
        <x:v>이성준</x:v>
      </x:c>
      <x:c r="D79" t="str">
        <x:v>경기도</x:v>
      </x:c>
      <x:c r="E79" t="str">
        <x:v>안산시</x:v>
      </x:c>
      <x:c r="F79" t="str">
        <x:v>상록구</x:v>
      </x:c>
      <x:c r="G79" t="str">
        <x:v>경기도 안산시 상록구 석호로 171</x:v>
      </x:c>
      <x:c r="H79"/>
      <x:c r="I79"/>
      <x:c r="J79" t="str">
        <x:v>공식주소기반(미변환)</x:v>
      </x:c>
      <x:c r="K79" t="str">
        <x:v>2014-02-17</x:v>
      </x:c>
      <x:c r="L79" t="str">
        <x:v>휴업</x:v>
      </x:c>
      <x:c r="M79" t="str">
        <x:v>법인</x:v>
      </x:c>
      <x:c r="N79" t="str">
        <x:v>일반</x:v>
      </x:c>
      <x:c r="O79" t="str">
        <x:v>2024-03-07</x:v>
      </x:c>
      <x:c r="P79" t="str">
        <x:v>없음</x:v>
      </x:c>
      <x:c r="Q79" t="str">
        <x:v>담당3</x:v>
      </x:c>
      <x:c r="R79" t="str">
        <x:v>가상 데이터 / 실제 업체 아님</x:v>
      </x:c>
    </x:row>
    <x:row r="80" ht="21" customHeight="1">
      <x:c r="A80" t="str">
        <x:v>EXA-0079</x:v>
      </x:c>
      <x:c r="B80" t="str">
        <x:v>중앙원익스체인지 079호</x:v>
      </x:c>
      <x:c r="C80" t="str">
        <x:v>조하진</x:v>
      </x:c>
      <x:c r="D80" t="str">
        <x:v>경기도</x:v>
      </x:c>
      <x:c r="E80" t="str">
        <x:v>안산시</x:v>
      </x:c>
      <x:c r="F80" t="str">
        <x:v>상록구</x:v>
      </x:c>
      <x:c r="G80" t="str">
        <x:v>경기도 안산시 상록구 시낭북로 4</x:v>
      </x:c>
      <x:c r="H80"/>
      <x:c r="I80"/>
      <x:c r="J80" t="str">
        <x:v>공식주소기반(미변환)</x:v>
      </x:c>
      <x:c r="K80" t="str">
        <x:v>2016-01-07</x:v>
      </x:c>
      <x:c r="L80" t="str">
        <x:v>영업중</x:v>
      </x:c>
      <x:c r="M80" t="str">
        <x:v>법인</x:v>
      </x:c>
      <x:c r="N80" t="str">
        <x:v>관광지 인접</x:v>
      </x:c>
      <x:c r="O80" t="str">
        <x:v>2025-09-02</x:v>
      </x:c>
      <x:c r="P80" t="str">
        <x:v>없음</x:v>
      </x:c>
      <x:c r="Q80" t="str">
        <x:v>담당4</x:v>
      </x:c>
      <x:c r="R80" t="str">
        <x:v>가상 데이터 / 실제 업체 아님</x:v>
      </x:c>
    </x:row>
    <x:row r="81" ht="21" customHeight="1">
      <x:c r="A81" t="str">
        <x:v>EXA-0080</x:v>
      </x:c>
      <x:c r="B81" t="str">
        <x:v>안산스타외환서비스 080호</x:v>
      </x:c>
      <x:c r="C81" t="str">
        <x:v>강영진</x:v>
      </x:c>
      <x:c r="D81" t="str">
        <x:v>경기도</x:v>
      </x:c>
      <x:c r="E81" t="str">
        <x:v>안산시</x:v>
      </x:c>
      <x:c r="F81" t="str">
        <x:v>단원구</x:v>
      </x:c>
      <x:c r="G81" t="str">
        <x:v>경기도 안산시 단원구 광덕2로 125</x:v>
      </x:c>
      <x:c r="H81"/>
      <x:c r="I81"/>
      <x:c r="J81" t="str">
        <x:v>공식주소기반(미변환)</x:v>
      </x:c>
      <x:c r="K81" t="str">
        <x:v>2011-07-25</x:v>
      </x:c>
      <x:c r="L81" t="str">
        <x:v>영업중</x:v>
      </x:c>
      <x:c r="M81" t="str">
        <x:v>개인</x:v>
      </x:c>
      <x:c r="N81" t="str">
        <x:v>상업지역</x:v>
      </x:c>
      <x:c r="O81" t="str">
        <x:v>2021-11-03</x:v>
      </x:c>
      <x:c r="P81" t="str">
        <x:v>없음</x:v>
      </x:c>
      <x:c r="Q81" t="str">
        <x:v>담당3</x:v>
      </x:c>
      <x:c r="R81" t="str">
        <x:v>가상 데이터 / 실제 업체 아님</x:v>
      </x:c>
    </x:row>
    <x:row r="82" ht="21" customHeight="1">
      <x:c r="A82" t="str">
        <x:v>EXA-0081</x:v>
      </x:c>
      <x:c r="B82" t="str">
        <x:v>한마음플러스익스체인지 081호</x:v>
      </x:c>
      <x:c r="C82" t="str">
        <x:v>신도지</x:v>
      </x:c>
      <x:c r="D82" t="str">
        <x:v>경기도</x:v>
      </x:c>
      <x:c r="E82" t="str">
        <x:v>안산시</x:v>
      </x:c>
      <x:c r="F82" t="str">
        <x:v>단원구</x:v>
      </x:c>
      <x:c r="G82" t="str">
        <x:v>경기도 안산시 단원구 선삼로 47</x:v>
      </x:c>
      <x:c r="H82"/>
      <x:c r="I82"/>
      <x:c r="J82" t="str">
        <x:v>공식주소기반(미변환)</x:v>
      </x:c>
      <x:c r="K82" t="str">
        <x:v>2024-06-22</x:v>
      </x:c>
      <x:c r="L82" t="str">
        <x:v>휴업</x:v>
      </x:c>
      <x:c r="M82" t="str">
        <x:v>일반</x:v>
      </x:c>
      <x:c r="N82" t="str">
        <x:v>관광지 인접</x:v>
      </x:c>
      <x:c r="O82" t="str">
        <x:v>2023-08-28</x:v>
      </x:c>
      <x:c r="P82" t="str">
        <x:v>없음</x:v>
      </x:c>
      <x:c r="Q82" t="str">
        <x:v>담당2</x:v>
      </x:c>
      <x:c r="R82" t="str">
        <x:v>가상 데이터 / 실제 업체 아님</x:v>
      </x:c>
    </x:row>
    <x:row r="83" ht="21" customHeight="1">
      <x:c r="A83" t="str">
        <x:v>EXA-0082</x:v>
      </x:c>
      <x:c r="B83" t="str">
        <x:v>단원환전소 082호</x:v>
      </x:c>
      <x:c r="C83" t="str">
        <x:v>황예호</x:v>
      </x:c>
      <x:c r="D83" t="str">
        <x:v>경기도</x:v>
      </x:c>
      <x:c r="E83" t="str">
        <x:v>안산시</x:v>
      </x:c>
      <x:c r="F83" t="str">
        <x:v>상록구</x:v>
      </x:c>
      <x:c r="G83" t="str">
        <x:v>경기도 안산시 상록구 샘골로 16</x:v>
      </x:c>
      <x:c r="H83"/>
      <x:c r="I83"/>
      <x:c r="J83" t="str">
        <x:v>공식주소기반(미변환)</x:v>
      </x:c>
      <x:c r="K83" t="str">
        <x:v>2020-09-11</x:v>
      </x:c>
      <x:c r="L83" t="str">
        <x:v>폐업</x:v>
      </x:c>
      <x:c r="M83" t="str">
        <x:v>일반</x:v>
      </x:c>
      <x:c r="N83" t="str">
        <x:v>주거지역</x:v>
      </x:c>
      <x:c r="O83" t="str">
        <x:v>2024-08-27</x:v>
      </x:c>
      <x:c r="P83" t="str">
        <x:v>없음</x:v>
      </x:c>
      <x:c r="Q83" t="str">
        <x:v>담당2</x:v>
      </x:c>
      <x:c r="R83" t="str">
        <x:v>가상 데이터 / 실제 업체 아님</x:v>
      </x:c>
    </x:row>
    <x:row r="84" ht="21" customHeight="1">
      <x:c r="A84" t="str">
        <x:v>EXA-0083</x:v>
      </x:c>
      <x:c r="B84" t="str">
        <x:v>우리스타외환서비스 083호</x:v>
      </x:c>
      <x:c r="C84" t="str">
        <x:v>황예민</x:v>
      </x:c>
      <x:c r="D84" t="str">
        <x:v>경기도</x:v>
      </x:c>
      <x:c r="E84" t="str">
        <x:v>안산시</x:v>
      </x:c>
      <x:c r="F84" t="str">
        <x:v>상록구</x:v>
      </x:c>
      <x:c r="G84" t="str">
        <x:v>경기도 안산시 상록구 장하로 315</x:v>
      </x:c>
      <x:c r="H84"/>
      <x:c r="I84"/>
      <x:c r="J84" t="str">
        <x:v>공식주소기반(미변환)</x:v>
      </x:c>
      <x:c r="K84" t="str">
        <x:v>2017-12-08</x:v>
      </x:c>
      <x:c r="L84" t="str">
        <x:v>영업중</x:v>
      </x:c>
      <x:c r="M84" t="str">
        <x:v>일반</x:v>
      </x:c>
      <x:c r="N84" t="str">
        <x:v>상업지역</x:v>
      </x:c>
      <x:c r="O84" t="str">
        <x:v>2021-09-03</x:v>
      </x:c>
      <x:c r="P84" t="str">
        <x:v>없음</x:v>
      </x:c>
      <x:c r="Q84" t="str">
        <x:v>담당2</x:v>
      </x:c>
      <x:c r="R84" t="str">
        <x:v>가상 데이터 / 실제 업체 아님</x:v>
      </x:c>
    </x:row>
    <x:row r="85" ht="21" customHeight="1">
      <x:c r="A85" t="str">
        <x:v>EXA-0084</x:v>
      </x:c>
      <x:c r="B85" t="str">
        <x:v>푸른플러스환전소 084호</x:v>
      </x:c>
      <x:c r="C85" t="str">
        <x:v>박영민</x:v>
      </x:c>
      <x:c r="D85" t="str">
        <x:v>경기도</x:v>
      </x:c>
      <x:c r="E85" t="str">
        <x:v>안산시</x:v>
      </x:c>
      <x:c r="F85" t="str">
        <x:v>단원구</x:v>
      </x:c>
      <x:c r="G85" t="str">
        <x:v>경기도 안산시 단원구 삼일로 42-7</x:v>
      </x:c>
      <x:c r="H85"/>
      <x:c r="I85"/>
      <x:c r="J85" t="str">
        <x:v>공식주소기반(미변환)</x:v>
      </x:c>
      <x:c r="K85" t="str">
        <x:v>2012-06-10</x:v>
      </x:c>
      <x:c r="L85" t="str">
        <x:v>폐업</x:v>
      </x:c>
      <x:c r="M85" t="str">
        <x:v>일반</x:v>
      </x:c>
      <x:c r="N85" t="str">
        <x:v>관광지 인접</x:v>
      </x:c>
      <x:c r="O85" t="str">
        <x:v>2024-05-04</x:v>
      </x:c>
      <x:c r="P85" t="str">
        <x:v>경미</x:v>
      </x:c>
      <x:c r="Q85" t="str">
        <x:v>담당4</x:v>
      </x:c>
      <x:c r="R85" t="str">
        <x:v>가상 데이터 / 실제 업체 아님</x:v>
      </x:c>
    </x:row>
    <x:row r="86" ht="21" customHeight="1">
      <x:c r="A86" t="str">
        <x:v>EXA-0085</x:v>
      </x:c>
      <x:c r="B86" t="str">
        <x:v>신세계머니체인지 085호</x:v>
      </x:c>
      <x:c r="C86" t="str">
        <x:v>윤영연</x:v>
      </x:c>
      <x:c r="D86" t="str">
        <x:v>경기도</x:v>
      </x:c>
      <x:c r="E86" t="str">
        <x:v>안산시</x:v>
      </x:c>
      <x:c r="F86" t="str">
        <x:v>상록구</x:v>
      </x:c>
      <x:c r="G86" t="str">
        <x:v>경기도 안산시 상록구 이동로 46</x:v>
      </x:c>
      <x:c r="H86"/>
      <x:c r="I86"/>
      <x:c r="J86" t="str">
        <x:v>공식주소기반(미변환)</x:v>
      </x:c>
      <x:c r="K86" t="str">
        <x:v>2019-01-05</x:v>
      </x:c>
      <x:c r="L86" t="str">
        <x:v>영업중</x:v>
      </x:c>
      <x:c r="M86" t="str">
        <x:v>개인</x:v>
      </x:c>
      <x:c r="N86" t="str">
        <x:v>주거지역</x:v>
      </x:c>
      <x:c r="O86" t="str">
        <x:v>2022-07-31</x:v>
      </x:c>
      <x:c r="P86" t="str">
        <x:v>없음</x:v>
      </x:c>
      <x:c r="Q86" t="str">
        <x:v>담당2</x:v>
      </x:c>
      <x:c r="R86" t="str">
        <x:v>가상 데이터 / 실제 업체 아님</x:v>
      </x:c>
    </x:row>
    <x:row r="87" ht="21" customHeight="1">
      <x:c r="A87" t="str">
        <x:v>EXA-0086</x:v>
      </x:c>
      <x:c r="B87" t="str">
        <x:v>세계스타외환서비스 086호</x:v>
      </x:c>
      <x:c r="C87" t="str">
        <x:v>이태준</x:v>
      </x:c>
      <x:c r="D87" t="str">
        <x:v>경기도</x:v>
      </x:c>
      <x:c r="E87" t="str">
        <x:v>안산시</x:v>
      </x:c>
      <x:c r="F87" t="str">
        <x:v>상록구</x:v>
      </x:c>
      <x:c r="G87" t="str">
        <x:v>경기도 안산시 상록구 성호로 326</x:v>
      </x:c>
      <x:c r="H87"/>
      <x:c r="I87"/>
      <x:c r="J87" t="str">
        <x:v>공식주소기반(미변환)</x:v>
      </x:c>
      <x:c r="K87" t="str">
        <x:v>2023-05-06</x:v>
      </x:c>
      <x:c r="L87" t="str">
        <x:v>영업중</x:v>
      </x:c>
      <x:c r="M87" t="str">
        <x:v>개인</x:v>
      </x:c>
      <x:c r="N87" t="str">
        <x:v>주거지역</x:v>
      </x:c>
      <x:c r="O87" t="str">
        <x:v>2022-04-24</x:v>
      </x:c>
      <x:c r="P87" t="str">
        <x:v>없음</x:v>
      </x:c>
      <x:c r="Q87" t="str">
        <x:v>담당3</x:v>
      </x:c>
      <x:c r="R87" t="str">
        <x:v>가상 데이터 / 실제 업체 아님</x:v>
      </x:c>
    </x:row>
    <x:row r="88" ht="21" customHeight="1">
      <x:c r="A88" t="str">
        <x:v>EXA-0087</x:v>
      </x:c>
      <x:c r="B88" t="str">
        <x:v>상록원외환서비스 087호</x:v>
      </x:c>
      <x:c r="C88" t="str">
        <x:v>이성진</x:v>
      </x:c>
      <x:c r="D88" t="str">
        <x:v>경기도</x:v>
      </x:c>
      <x:c r="E88" t="str">
        <x:v>안산시</x:v>
      </x:c>
      <x:c r="F88" t="str">
        <x:v>단원구</x:v>
      </x:c>
      <x:c r="G88" t="str">
        <x:v>경기도 안산시 단원구 예술대학로 76</x:v>
      </x:c>
      <x:c r="H88"/>
      <x:c r="I88"/>
      <x:c r="J88" t="str">
        <x:v>공식주소기반(미변환)</x:v>
      </x:c>
      <x:c r="K88" t="str">
        <x:v>2013-10-13</x:v>
      </x:c>
      <x:c r="L88" t="str">
        <x:v>영업중</x:v>
      </x:c>
      <x:c r="M88" t="str">
        <x:v>법인</x:v>
      </x:c>
      <x:c r="N88" t="str">
        <x:v>상업지역</x:v>
      </x:c>
      <x:c r="O88" t="str">
        <x:v>2024-02-23</x:v>
      </x:c>
      <x:c r="P88" t="str">
        <x:v>중대</x:v>
      </x:c>
      <x:c r="Q88" t="str">
        <x:v>담당2</x:v>
      </x:c>
      <x:c r="R88" t="str">
        <x:v>가상 데이터 / 실제 업체 아님</x:v>
      </x:c>
    </x:row>
    <x:row r="89" ht="21" customHeight="1">
      <x:c r="A89" t="str">
        <x:v>EXA-0088</x:v>
      </x:c>
      <x:c r="B89" t="str">
        <x:v>신세계환전소 088호</x:v>
      </x:c>
      <x:c r="C89" t="str">
        <x:v>이민연</x:v>
      </x:c>
      <x:c r="D89" t="str">
        <x:v>경기도</x:v>
      </x:c>
      <x:c r="E89" t="str">
        <x:v>안산시</x:v>
      </x:c>
      <x:c r="F89" t="str">
        <x:v>단원구</x:v>
      </x:c>
      <x:c r="G89" t="str">
        <x:v>경기도 안산시 단원구 지곡로 46</x:v>
      </x:c>
      <x:c r="H89"/>
      <x:c r="I89"/>
      <x:c r="J89" t="str">
        <x:v>공식주소기반(미변환)</x:v>
      </x:c>
      <x:c r="K89" t="str">
        <x:v>2017-05-13</x:v>
      </x:c>
      <x:c r="L89" t="str">
        <x:v>영업중</x:v>
      </x:c>
      <x:c r="M89" t="str">
        <x:v>법인</x:v>
      </x:c>
      <x:c r="N89" t="str">
        <x:v>주거지역</x:v>
      </x:c>
      <x:c r="O89" t="str">
        <x:v>2021-12-17</x:v>
      </x:c>
      <x:c r="P89" t="str">
        <x:v>없음</x:v>
      </x:c>
      <x:c r="Q89" t="str">
        <x:v>담당3</x:v>
      </x:c>
      <x:c r="R89" t="str">
        <x:v>가상 데이터 / 실제 업체 아님</x:v>
      </x:c>
    </x:row>
    <x:row r="90" ht="21" customHeight="1">
      <x:c r="A90" t="str">
        <x:v>EXA-0089</x:v>
      </x:c>
      <x:c r="B90" t="str">
        <x:v>동행원머니체인지 089호</x:v>
      </x:c>
      <x:c r="C90" t="str">
        <x:v>오민민</x:v>
      </x:c>
      <x:c r="D90" t="str">
        <x:v>경기도</x:v>
      </x:c>
      <x:c r="E90" t="str">
        <x:v>안산시</x:v>
      </x:c>
      <x:c r="F90" t="str">
        <x:v>상록구</x:v>
      </x:c>
      <x:c r="G90" t="str">
        <x:v>경기도 안산시 상록구 해양로 8</x:v>
      </x:c>
      <x:c r="H90"/>
      <x:c r="I90"/>
      <x:c r="J90" t="str">
        <x:v>공식주소기반(미변환)</x:v>
      </x:c>
      <x:c r="K90" t="str">
        <x:v>2023-09-25</x:v>
      </x:c>
      <x:c r="L90" t="str">
        <x:v>영업중</x:v>
      </x:c>
      <x:c r="M90" t="str">
        <x:v>개인</x:v>
      </x:c>
      <x:c r="N90" t="str">
        <x:v>주거지역</x:v>
      </x:c>
      <x:c r="O90" t="str">
        <x:v>2025-09-27</x:v>
      </x:c>
      <x:c r="P90" t="str">
        <x:v>없음</x:v>
      </x:c>
      <x:c r="Q90" t="str">
        <x:v>담당2</x:v>
      </x:c>
      <x:c r="R90" t="str">
        <x:v>가상 데이터 / 실제 업체 아님</x:v>
      </x:c>
    </x:row>
    <x:row r="91" ht="21" customHeight="1">
      <x:c r="A91" t="str">
        <x:v>EXA-0090</x:v>
      </x:c>
      <x:c r="B91" t="str">
        <x:v>글로벌스타익스체인지 090호</x:v>
      </x:c>
      <x:c r="C91" t="str">
        <x:v>황수연</x:v>
      </x:c>
      <x:c r="D91" t="str">
        <x:v>경기도</x:v>
      </x:c>
      <x:c r="E91" t="str">
        <x:v>안산시</x:v>
      </x:c>
      <x:c r="F91" t="str">
        <x:v>상록구</x:v>
      </x:c>
      <x:c r="G91" t="str">
        <x:v>경기도 안산시 상록구 건건로 51</x:v>
      </x:c>
      <x:c r="H91"/>
      <x:c r="I91"/>
      <x:c r="J91" t="str">
        <x:v>공식주소기반(미변환)</x:v>
      </x:c>
      <x:c r="K91" t="str">
        <x:v>2025-01-20</x:v>
      </x:c>
      <x:c r="L91" t="str">
        <x:v>영업중</x:v>
      </x:c>
      <x:c r="M91" t="str">
        <x:v>일반</x:v>
      </x:c>
      <x:c r="N91" t="str">
        <x:v>주거지역</x:v>
      </x:c>
      <x:c r="O91" t="str">
        <x:v>2024-03-16</x:v>
      </x:c>
      <x:c r="P91" t="str">
        <x:v>중대</x:v>
      </x:c>
      <x:c r="Q91" t="str">
        <x:v>담당1</x:v>
      </x:c>
      <x:c r="R91" t="str">
        <x:v>가상 데이터 / 실제 업체 아님</x:v>
      </x:c>
    </x:row>
    <x:row r="92" ht="21" customHeight="1">
      <x:c r="A92" t="str">
        <x:v>EXA-0091</x:v>
      </x:c>
      <x:c r="B92" t="str">
        <x:v>나래프라임환전 091호</x:v>
      </x:c>
      <x:c r="C92" t="str">
        <x:v>권지호</x:v>
      </x:c>
      <x:c r="D92" t="str">
        <x:v>경기도</x:v>
      </x:c>
      <x:c r="E92" t="str">
        <x:v>안산시</x:v>
      </x:c>
      <x:c r="F92" t="str">
        <x:v>단원구</x:v>
      </x:c>
      <x:c r="G92" t="str">
        <x:v>경기도 안산시 단원구 원선로 31</x:v>
      </x:c>
      <x:c r="H92"/>
      <x:c r="I92"/>
      <x:c r="J92" t="str">
        <x:v>공식주소기반(미변환)</x:v>
      </x:c>
      <x:c r="K92" t="str">
        <x:v>2020-06-20</x:v>
      </x:c>
      <x:c r="L92" t="str">
        <x:v>영업중</x:v>
      </x:c>
      <x:c r="M92" t="str">
        <x:v>일반</x:v>
      </x:c>
      <x:c r="N92" t="str">
        <x:v>일반</x:v>
      </x:c>
      <x:c r="O92" t="str">
        <x:v>2022-04-15</x:v>
      </x:c>
      <x:c r="P92" t="str">
        <x:v>없음</x:v>
      </x:c>
      <x:c r="Q92" t="str">
        <x:v>담당1</x:v>
      </x:c>
      <x:c r="R92" t="str">
        <x:v>가상 데이터 / 실제 업체 아님</x:v>
      </x:c>
    </x:row>
    <x:row r="93" ht="21" customHeight="1">
      <x:c r="A93" t="str">
        <x:v>EXA-0092</x:v>
      </x:c>
      <x:c r="B93" t="str">
        <x:v>스마트스타외환서비스 092호</x:v>
      </x:c>
      <x:c r="C93" t="str">
        <x:v>류준빈</x:v>
      </x:c>
      <x:c r="D93" t="str">
        <x:v>경기도</x:v>
      </x:c>
      <x:c r="E93" t="str">
        <x:v>안산시</x:v>
      </x:c>
      <x:c r="F93" t="str">
        <x:v>상록구</x:v>
      </x:c>
      <x:c r="G93" t="str">
        <x:v>경기도 안산시 상록구 성호로 53</x:v>
      </x:c>
      <x:c r="H93"/>
      <x:c r="I93"/>
      <x:c r="J93" t="str">
        <x:v>공식주소기반(미변환)</x:v>
      </x:c>
      <x:c r="K93" t="str">
        <x:v>2019-09-13</x:v>
      </x:c>
      <x:c r="L93" t="str">
        <x:v>영업중</x:v>
      </x:c>
      <x:c r="M93" t="str">
        <x:v>법인</x:v>
      </x:c>
      <x:c r="N93" t="str">
        <x:v>상업지역</x:v>
      </x:c>
      <x:c r="O93" t="str">
        <x:v>2023-02-21</x:v>
      </x:c>
      <x:c r="P93" t="str">
        <x:v>없음</x:v>
      </x:c>
      <x:c r="Q93" t="str">
        <x:v>담당4</x:v>
      </x:c>
      <x:c r="R93" t="str">
        <x:v>가상 데이터 / 실제 업체 아님</x:v>
      </x:c>
    </x:row>
    <x:row r="94" ht="21" customHeight="1">
      <x:c r="A94" t="str">
        <x:v>EXA-0093</x:v>
      </x:c>
      <x:c r="B94" t="str">
        <x:v>우리프라임익스체인지 093호</x:v>
      </x:c>
      <x:c r="C94" t="str">
        <x:v>김수아</x:v>
      </x:c>
      <x:c r="D94" t="str">
        <x:v>경기도</x:v>
      </x:c>
      <x:c r="E94" t="str">
        <x:v>안산시</x:v>
      </x:c>
      <x:c r="F94" t="str">
        <x:v>상록구</x:v>
      </x:c>
      <x:c r="G94" t="str">
        <x:v>경기도 안산시 상록구 용신로 376</x:v>
      </x:c>
      <x:c r="H94"/>
      <x:c r="I94"/>
      <x:c r="J94" t="str">
        <x:v>공식주소기반(미변환)</x:v>
      </x:c>
      <x:c r="K94" t="str">
        <x:v>2022-08-10</x:v>
      </x:c>
      <x:c r="L94" t="str">
        <x:v>영업중</x:v>
      </x:c>
      <x:c r="M94" t="str">
        <x:v>개인</x:v>
      </x:c>
      <x:c r="N94" t="str">
        <x:v>상업지역</x:v>
      </x:c>
      <x:c r="O94" t="str">
        <x:v>2025-02-10</x:v>
      </x:c>
      <x:c r="P94" t="str">
        <x:v>없음</x:v>
      </x:c>
      <x:c r="Q94" t="str">
        <x:v>담당4</x:v>
      </x:c>
      <x:c r="R94" t="str">
        <x:v>가상 데이터 / 실제 업체 아님</x:v>
      </x:c>
    </x:row>
    <x:row r="95" ht="21" customHeight="1">
      <x:c r="A95" t="str">
        <x:v>EXA-0094</x:v>
      </x:c>
      <x:c r="B95" t="str">
        <x:v>이음플러스익스체인지 094호</x:v>
      </x:c>
      <x:c r="C95" t="str">
        <x:v>류태빈</x:v>
      </x:c>
      <x:c r="D95" t="str">
        <x:v>경기도</x:v>
      </x:c>
      <x:c r="E95" t="str">
        <x:v>안산시</x:v>
      </x:c>
      <x:c r="F95" t="str">
        <x:v>단원구</x:v>
      </x:c>
      <x:c r="G95" t="str">
        <x:v>경기도 안산시 단원구 화정천동로 252</x:v>
      </x:c>
      <x:c r="H95"/>
      <x:c r="I95"/>
      <x:c r="J95" t="str">
        <x:v>공식주소기반(미변환)</x:v>
      </x:c>
      <x:c r="K95" t="str">
        <x:v>2013-04-16</x:v>
      </x:c>
      <x:c r="L95" t="str">
        <x:v>영업중</x:v>
      </x:c>
      <x:c r="M95" t="str">
        <x:v>일반</x:v>
      </x:c>
      <x:c r="N95" t="str">
        <x:v>주거지역</x:v>
      </x:c>
      <x:c r="O95" t="str">
        <x:v>2021-05-02</x:v>
      </x:c>
      <x:c r="P95" t="str">
        <x:v>없음</x:v>
      </x:c>
      <x:c r="Q95" t="str">
        <x:v>담당3</x:v>
      </x:c>
      <x:c r="R95" t="str">
        <x:v>가상 데이터 / 실제 업체 아님</x:v>
      </x:c>
    </x:row>
    <x:row r="96" ht="21" customHeight="1">
      <x:c r="A96" t="str">
        <x:v>EXA-0095</x:v>
      </x:c>
      <x:c r="B96" t="str">
        <x:v>한빛스타환전 095호</x:v>
      </x:c>
      <x:c r="C96" t="str">
        <x:v>안지지</x:v>
      </x:c>
      <x:c r="D96" t="str">
        <x:v>경기도</x:v>
      </x:c>
      <x:c r="E96" t="str">
        <x:v>안산시</x:v>
      </x:c>
      <x:c r="F96" t="str">
        <x:v>단원구</x:v>
      </x:c>
      <x:c r="G96" t="str">
        <x:v>경기도 안산시 단원구 선부광장서로 47</x:v>
      </x:c>
      <x:c r="H96"/>
      <x:c r="I96"/>
      <x:c r="J96" t="str">
        <x:v>공식주소기반(미변환)</x:v>
      </x:c>
      <x:c r="K96" t="str">
        <x:v>2024-07-15</x:v>
      </x:c>
      <x:c r="L96" t="str">
        <x:v>영업중</x:v>
      </x:c>
      <x:c r="M96" t="str">
        <x:v>법인</x:v>
      </x:c>
      <x:c r="N96" t="str">
        <x:v>관광지 인접</x:v>
      </x:c>
      <x:c r="O96" t="str">
        <x:v>2024-09-17</x:v>
      </x:c>
      <x:c r="P96" t="str">
        <x:v>없음</x:v>
      </x:c>
      <x:c r="Q96" t="str">
        <x:v>담당3</x:v>
      </x:c>
      <x:c r="R96" t="str">
        <x:v>가상 데이터 / 실제 업체 아님</x:v>
      </x:c>
    </x:row>
    <x:row r="97" ht="21" customHeight="1">
      <x:c r="A97" t="str">
        <x:v>EXA-0096</x:v>
      </x:c>
      <x:c r="B97" t="str">
        <x:v>단원플러스환전소 096호</x:v>
      </x:c>
      <x:c r="C97" t="str">
        <x:v>이성아</x:v>
      </x:c>
      <x:c r="D97" t="str">
        <x:v>경기도</x:v>
      </x:c>
      <x:c r="E97" t="str">
        <x:v>안산시</x:v>
      </x:c>
      <x:c r="F97" t="str">
        <x:v>상록구</x:v>
      </x:c>
      <x:c r="G97" t="str">
        <x:v>경기도 안산시 상록구 감골1로 52</x:v>
      </x:c>
      <x:c r="H97"/>
      <x:c r="I97"/>
      <x:c r="J97" t="str">
        <x:v>공식주소기반(미변환)</x:v>
      </x:c>
      <x:c r="K97" t="str">
        <x:v>2024-12-30</x:v>
      </x:c>
      <x:c r="L97" t="str">
        <x:v>영업중</x:v>
      </x:c>
      <x:c r="M97" t="str">
        <x:v>법인</x:v>
      </x:c>
      <x:c r="N97" t="str">
        <x:v>관광지 인접</x:v>
      </x:c>
      <x:c r="O97" t="str">
        <x:v>2021-06-25</x:v>
      </x:c>
      <x:c r="P97" t="str">
        <x:v>없음</x:v>
      </x:c>
      <x:c r="Q97" t="str">
        <x:v>담당4</x:v>
      </x:c>
      <x:c r="R97" t="str">
        <x:v>가상 데이터 / 실제 업체 아님</x:v>
      </x:c>
    </x:row>
    <x:row r="98" ht="21" customHeight="1">
      <x:c r="A98" t="str">
        <x:v>EXA-0097</x:v>
      </x:c>
      <x:c r="B98" t="str">
        <x:v>세명플러스환전 097호</x:v>
      </x:c>
      <x:c r="C98" t="str">
        <x:v>신준진</x:v>
      </x:c>
      <x:c r="D98" t="str">
        <x:v>경기도</x:v>
      </x:c>
      <x:c r="E98" t="str">
        <x:v>안산시</x:v>
      </x:c>
      <x:c r="F98" t="str">
        <x:v>상록구</x:v>
      </x:c>
      <x:c r="G98" t="str">
        <x:v>경기도 안산시 상록구 충장로 468</x:v>
      </x:c>
      <x:c r="H98"/>
      <x:c r="I98"/>
      <x:c r="J98" t="str">
        <x:v>공식주소기반(미변환)</x:v>
      </x:c>
      <x:c r="K98" t="str">
        <x:v>2021-07-16</x:v>
      </x:c>
      <x:c r="L98" t="str">
        <x:v>휴업</x:v>
      </x:c>
      <x:c r="M98" t="str">
        <x:v>개인</x:v>
      </x:c>
      <x:c r="N98" t="str">
        <x:v>일반</x:v>
      </x:c>
      <x:c r="O98" t="str">
        <x:v>2021-07-07</x:v>
      </x:c>
      <x:c r="P98" t="str">
        <x:v>없음</x:v>
      </x:c>
      <x:c r="Q98" t="str">
        <x:v>담당4</x:v>
      </x:c>
      <x:c r="R98" t="str">
        <x:v>가상 데이터 / 실제 업체 아님</x:v>
      </x:c>
    </x:row>
    <x:row r="99" ht="21" customHeight="1">
      <x:c r="A99" t="str">
        <x:v>EXA-0098</x:v>
      </x:c>
      <x:c r="B99" t="str">
        <x:v>세명환전 098호</x:v>
      </x:c>
      <x:c r="C99" t="str">
        <x:v>오은연</x:v>
      </x:c>
      <x:c r="D99" t="str">
        <x:v>경기도</x:v>
      </x:c>
      <x:c r="E99" t="str">
        <x:v>안산시</x:v>
      </x:c>
      <x:c r="F99" t="str">
        <x:v>단원구</x:v>
      </x:c>
      <x:c r="G99" t="str">
        <x:v>경기도 안산시 단원구 부부로 55</x:v>
      </x:c>
      <x:c r="H99"/>
      <x:c r="I99"/>
      <x:c r="J99" t="str">
        <x:v>공식주소기반(미변환)</x:v>
      </x:c>
      <x:c r="K99" t="str">
        <x:v>2019-03-06</x:v>
      </x:c>
      <x:c r="L99" t="str">
        <x:v>영업중</x:v>
      </x:c>
      <x:c r="M99" t="str">
        <x:v>법인</x:v>
      </x:c>
      <x:c r="N99" t="str">
        <x:v>관광지 인접</x:v>
      </x:c>
      <x:c r="O99" t="str">
        <x:v>2026-06-17</x:v>
      </x:c>
      <x:c r="P99" t="str">
        <x:v>없음</x:v>
      </x:c>
      <x:c r="Q99" t="str">
        <x:v>담당4</x:v>
      </x:c>
      <x:c r="R99" t="str">
        <x:v>가상 데이터 / 실제 업체 아님</x:v>
      </x:c>
    </x:row>
    <x:row r="100" ht="21" customHeight="1">
      <x:c r="A100" t="str">
        <x:v>EXA-0099</x:v>
      </x:c>
      <x:c r="B100" t="str">
        <x:v>신세계스타환전 099호</x:v>
      </x:c>
      <x:c r="C100" t="str">
        <x:v>안태아</x:v>
      </x:c>
      <x:c r="D100" t="str">
        <x:v>경기도</x:v>
      </x:c>
      <x:c r="E100" t="str">
        <x:v>안산시</x:v>
      </x:c>
      <x:c r="F100" t="str">
        <x:v>단원구</x:v>
      </x:c>
      <x:c r="G100" t="str">
        <x:v>경기도 안산시 단원구 대부중앙로 97-9</x:v>
      </x:c>
      <x:c r="H100"/>
      <x:c r="I100"/>
      <x:c r="J100" t="str">
        <x:v>공식주소기반(미변환)</x:v>
      </x:c>
      <x:c r="K100" t="str">
        <x:v>2021-05-09</x:v>
      </x:c>
      <x:c r="L100" t="str">
        <x:v>휴업</x:v>
      </x:c>
      <x:c r="M100" t="str">
        <x:v>일반</x:v>
      </x:c>
      <x:c r="N100" t="str">
        <x:v>상업지역</x:v>
      </x:c>
      <x:c r="O100" t="str">
        <x:v>2025-01-10</x:v>
      </x:c>
      <x:c r="P100" t="str">
        <x:v>없음</x:v>
      </x:c>
      <x:c r="Q100" t="str">
        <x:v>담당1</x:v>
      </x:c>
      <x:c r="R100" t="str">
        <x:v>가상 데이터 / 실제 업체 아님</x:v>
      </x:c>
    </x:row>
    <x:row r="101" ht="21" customHeight="1">
      <x:c r="A101" t="str">
        <x:v>EXA-0100</x:v>
      </x:c>
      <x:c r="B101" t="str">
        <x:v>단원프라임환전 100호</x:v>
      </x:c>
      <x:c r="C101" t="str">
        <x:v>임우진</x:v>
      </x:c>
      <x:c r="D101" t="str">
        <x:v>경기도</x:v>
      </x:c>
      <x:c r="E101" t="str">
        <x:v>안산시</x:v>
      </x:c>
      <x:c r="F101" t="str">
        <x:v>상록구</x:v>
      </x:c>
      <x:c r="G101" t="str">
        <x:v>경기도 안산시 상록구 석호로 349</x:v>
      </x:c>
      <x:c r="H101"/>
      <x:c r="I101"/>
      <x:c r="J101" t="str">
        <x:v>공식주소기반(미변환)</x:v>
      </x:c>
      <x:c r="K101" t="str">
        <x:v>2020-10-10</x:v>
      </x:c>
      <x:c r="L101" t="str">
        <x:v>영업중</x:v>
      </x:c>
      <x:c r="M101" t="str">
        <x:v>개인</x:v>
      </x:c>
      <x:c r="N101" t="str">
        <x:v>관광지 인접</x:v>
      </x:c>
      <x:c r="O101" t="str">
        <x:v>2022-07-26</x:v>
      </x:c>
      <x:c r="P101" t="str">
        <x:v>경미</x:v>
      </x:c>
      <x:c r="Q101" t="str">
        <x:v>담당1</x:v>
      </x:c>
      <x:c r="R101" t="str">
        <x:v>가상 데이터 / 실제 업체 아님</x:v>
      </x:c>
    </x:row>
  </x:sheetData>
  <x:conditionalFormatting sqref="J2:J101">
    <x:cfRule type="expression" dxfId="0" priority="1">
      <x:formula>$J2="실패"</x:formula>
    </x:cfRule>
  </x:conditionalFormatting>
  <x:dataValidations count="3">
    <x:dataValidation type="list" sqref="L2:L101">
      <x:formula1>"영업중,휴업,폐업"</x:formula1>
    </x:dataValidation>
    <x:dataValidation type="list" sqref="J2:J101">
      <x:formula1>"미검증,검증완료,실패"</x:formula1>
    </x:dataValidation>
    <x:dataValidation type="list" sqref="P2:P101">
      <x:formula1>"없음,경미,중대"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3" hidden="0" customWidth="1"/>
    <x:col min="3" max="3" width="22" hidden="0" customWidth="1"/>
    <x:col min="4" max="4" width="21" hidden="0" customWidth="1"/>
    <x:col min="5" max="5" width="23" hidden="0" customWidth="1"/>
    <x:col min="6" max="6" width="17" hidden="0" customWidth="1"/>
  </x:cols>
  <x:sheetData>
    <x:row r="1" ht="31" customHeight="1">
      <x:c r="A1" s="4" t="str">
        <x:v>업체ID</x:v>
      </x:c>
      <x:c r="B1" s="4" t="str">
        <x:v>실적연도</x:v>
      </x:c>
      <x:c r="C1" s="4" t="str">
        <x:v>환전금액(만원)</x:v>
      </x:c>
      <x:c r="D1" s="4" t="str">
        <x:v>집계범위</x:v>
      </x:c>
      <x:c r="E1" s="4" t="str">
        <x:v>금액기준</x:v>
      </x:c>
      <x:c r="F1" s="4" t="str">
        <x:v>자료구분</x:v>
      </x:c>
    </x:row>
    <x:row r="2" ht="21" customHeight="1">
      <x:c r="A2" t="str">
        <x:v>EXA-0001</x:v>
      </x:c>
      <x:c r="B2" t="n">
        <x:v>2023</x:v>
      </x:c>
      <x:c r="C2" s="10" t="n">
        <x:v>96952</x:v>
      </x:c>
      <x:c r="D2" t="str">
        <x:v>연간 확정(가상)</x:v>
      </x:c>
      <x:c r="E2" t="str">
        <x:v>KRW 환산, 만원</x:v>
      </x:c>
      <x:c r="F2" t="str">
        <x:v>가상생성</x:v>
      </x:c>
    </x:row>
    <x:row r="3" ht="21" customHeight="1">
      <x:c r="A3" t="str">
        <x:v>EXA-0001</x:v>
      </x:c>
      <x:c r="B3" t="n">
        <x:v>2024</x:v>
      </x:c>
      <x:c r="C3" s="10" t="n">
        <x:v>87168</x:v>
      </x:c>
      <x:c r="D3" t="str">
        <x:v>연간 확정(가상)</x:v>
      </x:c>
      <x:c r="E3" t="str">
        <x:v>KRW 환산, 만원</x:v>
      </x:c>
      <x:c r="F3" t="str">
        <x:v>가상생성</x:v>
      </x:c>
    </x:row>
    <x:row r="4" ht="21" customHeight="1">
      <x:c r="A4" t="str">
        <x:v>EXA-0001</x:v>
      </x:c>
      <x:c r="B4" t="n">
        <x:v>2025</x:v>
      </x:c>
      <x:c r="C4" s="10" t="n">
        <x:v>104453</x:v>
      </x:c>
      <x:c r="D4" t="str">
        <x:v>연간 확정(가상)</x:v>
      </x:c>
      <x:c r="E4" t="str">
        <x:v>KRW 환산, 만원</x:v>
      </x:c>
      <x:c r="F4" t="str">
        <x:v>가상생성</x:v>
      </x:c>
    </x:row>
    <x:row r="5" ht="21" customHeight="1">
      <x:c r="A5" t="str">
        <x:v>EXA-0001</x:v>
      </x:c>
      <x:c r="B5" t="n">
        <x:v>2026</x:v>
      </x:c>
      <x:c r="C5" s="10" t="n">
        <x:v>68248</x:v>
      </x:c>
      <x:c r="D5" t="str">
        <x:v>1~3분기 누계</x:v>
      </x:c>
      <x:c r="E5" t="str">
        <x:v>KRW 환산, 만원</x:v>
      </x:c>
      <x:c r="F5" t="str">
        <x:v>가상생성</x:v>
      </x:c>
    </x:row>
    <x:row r="6" ht="21" customHeight="1">
      <x:c r="A6" t="str">
        <x:v>EXA-0002</x:v>
      </x:c>
      <x:c r="B6" t="n">
        <x:v>2023</x:v>
      </x:c>
      <x:c r="C6" s="10" t="n">
        <x:v>208551</x:v>
      </x:c>
      <x:c r="D6" t="str">
        <x:v>연간 확정(가상)</x:v>
      </x:c>
      <x:c r="E6" t="str">
        <x:v>KRW 환산, 만원</x:v>
      </x:c>
      <x:c r="F6" t="str">
        <x:v>가상생성</x:v>
      </x:c>
    </x:row>
    <x:row r="7" ht="21" customHeight="1">
      <x:c r="A7" t="str">
        <x:v>EXA-0002</x:v>
      </x:c>
      <x:c r="B7" t="n">
        <x:v>2024</x:v>
      </x:c>
      <x:c r="C7" s="10" t="n">
        <x:v>147993</x:v>
      </x:c>
      <x:c r="D7" t="str">
        <x:v>연간 확정(가상)</x:v>
      </x:c>
      <x:c r="E7" t="str">
        <x:v>KRW 환산, 만원</x:v>
      </x:c>
      <x:c r="F7" t="str">
        <x:v>가상생성</x:v>
      </x:c>
    </x:row>
    <x:row r="8" ht="21" customHeight="1">
      <x:c r="A8" t="str">
        <x:v>EXA-0002</x:v>
      </x:c>
      <x:c r="B8" t="n">
        <x:v>2025</x:v>
      </x:c>
      <x:c r="C8" s="10" t="n">
        <x:v>86378</x:v>
      </x:c>
      <x:c r="D8" t="str">
        <x:v>연간 확정(가상)</x:v>
      </x:c>
      <x:c r="E8" t="str">
        <x:v>KRW 환산, 만원</x:v>
      </x:c>
      <x:c r="F8" t="str">
        <x:v>가상생성</x:v>
      </x:c>
    </x:row>
    <x:row r="9" ht="21" customHeight="1">
      <x:c r="A9" t="str">
        <x:v>EXA-0002</x:v>
      </x:c>
      <x:c r="B9" t="n">
        <x:v>2026</x:v>
      </x:c>
      <x:c r="C9" s="10" t="n">
        <x:v>69274</x:v>
      </x:c>
      <x:c r="D9" t="str">
        <x:v>1~3분기 누계</x:v>
      </x:c>
      <x:c r="E9" t="str">
        <x:v>KRW 환산, 만원</x:v>
      </x:c>
      <x:c r="F9" t="str">
        <x:v>가상생성</x:v>
      </x:c>
    </x:row>
    <x:row r="10" ht="21" customHeight="1">
      <x:c r="A10" t="str">
        <x:v>EXA-0003</x:v>
      </x:c>
      <x:c r="B10" t="n">
        <x:v>2023</x:v>
      </x:c>
      <x:c r="C10" s="10" t="n">
        <x:v>82123</x:v>
      </x:c>
      <x:c r="D10" t="str">
        <x:v>연간 확정(가상)</x:v>
      </x:c>
      <x:c r="E10" t="str">
        <x:v>KRW 환산, 만원</x:v>
      </x:c>
      <x:c r="F10" t="str">
        <x:v>가상생성</x:v>
      </x:c>
    </x:row>
    <x:row r="11" ht="21" customHeight="1">
      <x:c r="A11" t="str">
        <x:v>EXA-0003</x:v>
      </x:c>
      <x:c r="B11" t="n">
        <x:v>2024</x:v>
      </x:c>
      <x:c r="C11" s="10" t="n">
        <x:v>58070</x:v>
      </x:c>
      <x:c r="D11" t="str">
        <x:v>연간 확정(가상)</x:v>
      </x:c>
      <x:c r="E11" t="str">
        <x:v>KRW 환산, 만원</x:v>
      </x:c>
      <x:c r="F11" t="str">
        <x:v>가상생성</x:v>
      </x:c>
    </x:row>
    <x:row r="12" ht="21" customHeight="1">
      <x:c r="A12" t="str">
        <x:v>EXA-0003</x:v>
      </x:c>
      <x:c r="B12" t="n">
        <x:v>2025</x:v>
      </x:c>
      <x:c r="C12" s="10" t="n">
        <x:v>90246</x:v>
      </x:c>
      <x:c r="D12" t="str">
        <x:v>연간 확정(가상)</x:v>
      </x:c>
      <x:c r="E12" t="str">
        <x:v>KRW 환산, 만원</x:v>
      </x:c>
      <x:c r="F12" t="str">
        <x:v>가상생성</x:v>
      </x:c>
    </x:row>
    <x:row r="13" ht="21" customHeight="1">
      <x:c r="A13" t="str">
        <x:v>EXA-0003</x:v>
      </x:c>
      <x:c r="B13" t="n">
        <x:v>2026</x:v>
      </x:c>
      <x:c r="C13" s="10" t="n">
        <x:v>70528</x:v>
      </x:c>
      <x:c r="D13" t="str">
        <x:v>1~3분기 누계</x:v>
      </x:c>
      <x:c r="E13" t="str">
        <x:v>KRW 환산, 만원</x:v>
      </x:c>
      <x:c r="F13" t="str">
        <x:v>가상생성</x:v>
      </x:c>
    </x:row>
    <x:row r="14" ht="21" customHeight="1">
      <x:c r="A14" t="str">
        <x:v>EXA-0004</x:v>
      </x:c>
      <x:c r="B14" t="n">
        <x:v>2023</x:v>
      </x:c>
      <x:c r="C14" s="10" t="n">
        <x:v>200946</x:v>
      </x:c>
      <x:c r="D14" t="str">
        <x:v>연간 확정(가상)</x:v>
      </x:c>
      <x:c r="E14" t="str">
        <x:v>KRW 환산, 만원</x:v>
      </x:c>
      <x:c r="F14" t="str">
        <x:v>가상생성</x:v>
      </x:c>
    </x:row>
    <x:row r="15" ht="21" customHeight="1">
      <x:c r="A15" t="str">
        <x:v>EXA-0004</x:v>
      </x:c>
      <x:c r="B15" t="n">
        <x:v>2024</x:v>
      </x:c>
      <x:c r="C15" s="10" t="n">
        <x:v>148384</x:v>
      </x:c>
      <x:c r="D15" t="str">
        <x:v>연간 확정(가상)</x:v>
      </x:c>
      <x:c r="E15" t="str">
        <x:v>KRW 환산, 만원</x:v>
      </x:c>
      <x:c r="F15" t="str">
        <x:v>가상생성</x:v>
      </x:c>
    </x:row>
    <x:row r="16" ht="21" customHeight="1">
      <x:c r="A16" t="str">
        <x:v>EXA-0004</x:v>
      </x:c>
      <x:c r="B16" t="n">
        <x:v>2025</x:v>
      </x:c>
      <x:c r="C16" s="10" t="n">
        <x:v>219468</x:v>
      </x:c>
      <x:c r="D16" t="str">
        <x:v>연간 확정(가상)</x:v>
      </x:c>
      <x:c r="E16" t="str">
        <x:v>KRW 환산, 만원</x:v>
      </x:c>
      <x:c r="F16" t="str">
        <x:v>가상생성</x:v>
      </x:c>
    </x:row>
    <x:row r="17" ht="21" customHeight="1">
      <x:c r="A17" t="str">
        <x:v>EXA-0004</x:v>
      </x:c>
      <x:c r="B17" t="n">
        <x:v>2026</x:v>
      </x:c>
      <x:c r="C17" s="10" t="n">
        <x:v>95245</x:v>
      </x:c>
      <x:c r="D17" t="str">
        <x:v>1~3분기 누계</x:v>
      </x:c>
      <x:c r="E17" t="str">
        <x:v>KRW 환산, 만원</x:v>
      </x:c>
      <x:c r="F17" t="str">
        <x:v>가상생성</x:v>
      </x:c>
    </x:row>
    <x:row r="18" ht="21" customHeight="1">
      <x:c r="A18" t="str">
        <x:v>EXA-0005</x:v>
      </x:c>
      <x:c r="B18" t="n">
        <x:v>2023</x:v>
      </x:c>
      <x:c r="C18" s="10" t="n">
        <x:v>14539</x:v>
      </x:c>
      <x:c r="D18" t="str">
        <x:v>연간 확정(가상)</x:v>
      </x:c>
      <x:c r="E18" t="str">
        <x:v>KRW 환산, 만원</x:v>
      </x:c>
      <x:c r="F18" t="str">
        <x:v>가상생성</x:v>
      </x:c>
    </x:row>
    <x:row r="19" ht="21" customHeight="1">
      <x:c r="A19" t="str">
        <x:v>EXA-0005</x:v>
      </x:c>
      <x:c r="B19" t="n">
        <x:v>2024</x:v>
      </x:c>
      <x:c r="C19" s="10" t="n">
        <x:v>16044</x:v>
      </x:c>
      <x:c r="D19" t="str">
        <x:v>연간 확정(가상)</x:v>
      </x:c>
      <x:c r="E19" t="str">
        <x:v>KRW 환산, 만원</x:v>
      </x:c>
      <x:c r="F19" t="str">
        <x:v>가상생성</x:v>
      </x:c>
    </x:row>
    <x:row r="20" ht="21" customHeight="1">
      <x:c r="A20" t="str">
        <x:v>EXA-0005</x:v>
      </x:c>
      <x:c r="B20" t="n">
        <x:v>2025</x:v>
      </x:c>
      <x:c r="C20" s="10" t="n">
        <x:v>20254</x:v>
      </x:c>
      <x:c r="D20" t="str">
        <x:v>연간 확정(가상)</x:v>
      </x:c>
      <x:c r="E20" t="str">
        <x:v>KRW 환산, 만원</x:v>
      </x:c>
      <x:c r="F20" t="str">
        <x:v>가상생성</x:v>
      </x:c>
    </x:row>
    <x:row r="21" ht="21" customHeight="1">
      <x:c r="A21" t="str">
        <x:v>EXA-0005</x:v>
      </x:c>
      <x:c r="B21" t="n">
        <x:v>2026</x:v>
      </x:c>
      <x:c r="C21" s="10" t="n">
        <x:v>10344</x:v>
      </x:c>
      <x:c r="D21" t="str">
        <x:v>1~3분기 누계</x:v>
      </x:c>
      <x:c r="E21" t="str">
        <x:v>KRW 환산, 만원</x:v>
      </x:c>
      <x:c r="F21" t="str">
        <x:v>가상생성</x:v>
      </x:c>
    </x:row>
    <x:row r="22" ht="21" customHeight="1">
      <x:c r="A22" t="str">
        <x:v>EXA-0006</x:v>
      </x:c>
      <x:c r="B22" t="n">
        <x:v>2023</x:v>
      </x:c>
      <x:c r="C22" s="10" t="n">
        <x:v>27284</x:v>
      </x:c>
      <x:c r="D22" t="str">
        <x:v>연간 확정(가상)</x:v>
      </x:c>
      <x:c r="E22" t="str">
        <x:v>KRW 환산, 만원</x:v>
      </x:c>
      <x:c r="F22" t="str">
        <x:v>가상생성</x:v>
      </x:c>
    </x:row>
    <x:row r="23" ht="21" customHeight="1">
      <x:c r="A23" t="str">
        <x:v>EXA-0006</x:v>
      </x:c>
      <x:c r="B23" t="n">
        <x:v>2024</x:v>
      </x:c>
      <x:c r="C23" s="10" t="n">
        <x:v>37711</x:v>
      </x:c>
      <x:c r="D23" t="str">
        <x:v>연간 확정(가상)</x:v>
      </x:c>
      <x:c r="E23" t="str">
        <x:v>KRW 환산, 만원</x:v>
      </x:c>
      <x:c r="F23" t="str">
        <x:v>가상생성</x:v>
      </x:c>
    </x:row>
    <x:row r="24" ht="21" customHeight="1">
      <x:c r="A24" t="str">
        <x:v>EXA-0006</x:v>
      </x:c>
      <x:c r="B24" t="n">
        <x:v>2025</x:v>
      </x:c>
      <x:c r="C24" s="10" t="n">
        <x:v>34388</x:v>
      </x:c>
      <x:c r="D24" t="str">
        <x:v>연간 확정(가상)</x:v>
      </x:c>
      <x:c r="E24" t="str">
        <x:v>KRW 환산, 만원</x:v>
      </x:c>
      <x:c r="F24" t="str">
        <x:v>가상생성</x:v>
      </x:c>
    </x:row>
    <x:row r="25" ht="21" customHeight="1">
      <x:c r="A25" t="str">
        <x:v>EXA-0006</x:v>
      </x:c>
      <x:c r="B25" t="n">
        <x:v>2026</x:v>
      </x:c>
      <x:c r="C25" s="10" t="n">
        <x:v>22230</x:v>
      </x:c>
      <x:c r="D25" t="str">
        <x:v>1~3분기 누계</x:v>
      </x:c>
      <x:c r="E25" t="str">
        <x:v>KRW 환산, 만원</x:v>
      </x:c>
      <x:c r="F25" t="str">
        <x:v>가상생성</x:v>
      </x:c>
    </x:row>
    <x:row r="26" ht="21" customHeight="1">
      <x:c r="A26" t="str">
        <x:v>EXA-0007</x:v>
      </x:c>
      <x:c r="B26" t="n">
        <x:v>2023</x:v>
      </x:c>
      <x:c r="C26" s="10" t="n">
        <x:v>132247</x:v>
      </x:c>
      <x:c r="D26" t="str">
        <x:v>연간 확정(가상)</x:v>
      </x:c>
      <x:c r="E26" t="str">
        <x:v>KRW 환산, 만원</x:v>
      </x:c>
      <x:c r="F26" t="str">
        <x:v>가상생성</x:v>
      </x:c>
    </x:row>
    <x:row r="27" ht="21" customHeight="1">
      <x:c r="A27" t="str">
        <x:v>EXA-0007</x:v>
      </x:c>
      <x:c r="B27" t="n">
        <x:v>2024</x:v>
      </x:c>
      <x:c r="C27" s="10" t="n">
        <x:v>171885</x:v>
      </x:c>
      <x:c r="D27" t="str">
        <x:v>연간 확정(가상)</x:v>
      </x:c>
      <x:c r="E27" t="str">
        <x:v>KRW 환산, 만원</x:v>
      </x:c>
      <x:c r="F27" t="str">
        <x:v>가상생성</x:v>
      </x:c>
    </x:row>
    <x:row r="28" ht="21" customHeight="1">
      <x:c r="A28" t="str">
        <x:v>EXA-0007</x:v>
      </x:c>
      <x:c r="B28" t="n">
        <x:v>2025</x:v>
      </x:c>
      <x:c r="C28" s="10" t="n">
        <x:v>230132</x:v>
      </x:c>
      <x:c r="D28" t="str">
        <x:v>연간 확정(가상)</x:v>
      </x:c>
      <x:c r="E28" t="str">
        <x:v>KRW 환산, 만원</x:v>
      </x:c>
      <x:c r="F28" t="str">
        <x:v>가상생성</x:v>
      </x:c>
    </x:row>
    <x:row r="29" ht="21" customHeight="1">
      <x:c r="A29" t="str">
        <x:v>EXA-0007</x:v>
      </x:c>
      <x:c r="B29" t="n">
        <x:v>2026</x:v>
      </x:c>
      <x:c r="C29" s="10" t="n">
        <x:v>177531</x:v>
      </x:c>
      <x:c r="D29" t="str">
        <x:v>1~3분기 누계</x:v>
      </x:c>
      <x:c r="E29" t="str">
        <x:v>KRW 환산, 만원</x:v>
      </x:c>
      <x:c r="F29" t="str">
        <x:v>가상생성</x:v>
      </x:c>
    </x:row>
    <x:row r="30" ht="21" customHeight="1">
      <x:c r="A30" t="str">
        <x:v>EXA-0008</x:v>
      </x:c>
      <x:c r="B30" t="n">
        <x:v>2023</x:v>
      </x:c>
      <x:c r="C30" s="10" t="n">
        <x:v>258106</x:v>
      </x:c>
      <x:c r="D30" t="str">
        <x:v>연간 확정(가상)</x:v>
      </x:c>
      <x:c r="E30" t="str">
        <x:v>KRW 환산, 만원</x:v>
      </x:c>
      <x:c r="F30" t="str">
        <x:v>가상생성</x:v>
      </x:c>
    </x:row>
    <x:row r="31" ht="21" customHeight="1">
      <x:c r="A31" t="str">
        <x:v>EXA-0008</x:v>
      </x:c>
      <x:c r="B31" t="n">
        <x:v>2024</x:v>
      </x:c>
      <x:c r="C31" s="10" t="n">
        <x:v>333098</x:v>
      </x:c>
      <x:c r="D31" t="str">
        <x:v>연간 확정(가상)</x:v>
      </x:c>
      <x:c r="E31" t="str">
        <x:v>KRW 환산, 만원</x:v>
      </x:c>
      <x:c r="F31" t="str">
        <x:v>가상생성</x:v>
      </x:c>
    </x:row>
    <x:row r="32" ht="21" customHeight="1">
      <x:c r="A32" t="str">
        <x:v>EXA-0008</x:v>
      </x:c>
      <x:c r="B32" t="n">
        <x:v>2025</x:v>
      </x:c>
      <x:c r="C32" s="10" t="n">
        <x:v>310447</x:v>
      </x:c>
      <x:c r="D32" t="str">
        <x:v>연간 확정(가상)</x:v>
      </x:c>
      <x:c r="E32" t="str">
        <x:v>KRW 환산, 만원</x:v>
      </x:c>
      <x:c r="F32" t="str">
        <x:v>가상생성</x:v>
      </x:c>
    </x:row>
    <x:row r="33" ht="21" customHeight="1">
      <x:c r="A33" t="str">
        <x:v>EXA-0008</x:v>
      </x:c>
      <x:c r="B33" t="n">
        <x:v>2026</x:v>
      </x:c>
      <x:c r="C33" s="10" t="n">
        <x:v>144567</x:v>
      </x:c>
      <x:c r="D33" t="str">
        <x:v>1~3분기 누계</x:v>
      </x:c>
      <x:c r="E33" t="str">
        <x:v>KRW 환산, 만원</x:v>
      </x:c>
      <x:c r="F33" t="str">
        <x:v>가상생성</x:v>
      </x:c>
    </x:row>
    <x:row r="34" ht="21" customHeight="1">
      <x:c r="A34" t="str">
        <x:v>EXA-0009</x:v>
      </x:c>
      <x:c r="B34" t="n">
        <x:v>2023</x:v>
      </x:c>
      <x:c r="C34" s="10" t="n">
        <x:v>30570</x:v>
      </x:c>
      <x:c r="D34" t="str">
        <x:v>연간 확정(가상)</x:v>
      </x:c>
      <x:c r="E34" t="str">
        <x:v>KRW 환산, 만원</x:v>
      </x:c>
      <x:c r="F34" t="str">
        <x:v>가상생성</x:v>
      </x:c>
    </x:row>
    <x:row r="35" ht="21" customHeight="1">
      <x:c r="A35" t="str">
        <x:v>EXA-0009</x:v>
      </x:c>
      <x:c r="B35" t="n">
        <x:v>2024</x:v>
      </x:c>
      <x:c r="C35" s="10" t="n">
        <x:v>42843</x:v>
      </x:c>
      <x:c r="D35" t="str">
        <x:v>연간 확정(가상)</x:v>
      </x:c>
      <x:c r="E35" t="str">
        <x:v>KRW 환산, 만원</x:v>
      </x:c>
      <x:c r="F35" t="str">
        <x:v>가상생성</x:v>
      </x:c>
    </x:row>
    <x:row r="36" ht="21" customHeight="1">
      <x:c r="A36" t="str">
        <x:v>EXA-0009</x:v>
      </x:c>
      <x:c r="B36" t="n">
        <x:v>2025</x:v>
      </x:c>
      <x:c r="C36" s="10" t="n">
        <x:v>40946</x:v>
      </x:c>
      <x:c r="D36" t="str">
        <x:v>연간 확정(가상)</x:v>
      </x:c>
      <x:c r="E36" t="str">
        <x:v>KRW 환산, 만원</x:v>
      </x:c>
      <x:c r="F36" t="str">
        <x:v>가상생성</x:v>
      </x:c>
    </x:row>
    <x:row r="37" ht="21" customHeight="1">
      <x:c r="A37" t="str">
        <x:v>EXA-0009</x:v>
      </x:c>
      <x:c r="B37" t="n">
        <x:v>2026</x:v>
      </x:c>
      <x:c r="C37" s="10" t="n">
        <x:v>20590</x:v>
      </x:c>
      <x:c r="D37" t="str">
        <x:v>1~3분기 누계</x:v>
      </x:c>
      <x:c r="E37" t="str">
        <x:v>KRW 환산, 만원</x:v>
      </x:c>
      <x:c r="F37" t="str">
        <x:v>가상생성</x:v>
      </x:c>
    </x:row>
    <x:row r="38" ht="21" customHeight="1">
      <x:c r="A38" t="str">
        <x:v>EXA-0010</x:v>
      </x:c>
      <x:c r="B38" t="n">
        <x:v>2023</x:v>
      </x:c>
      <x:c r="C38" s="10" t="n">
        <x:v>163719</x:v>
      </x:c>
      <x:c r="D38" t="str">
        <x:v>연간 확정(가상)</x:v>
      </x:c>
      <x:c r="E38" t="str">
        <x:v>KRW 환산, 만원</x:v>
      </x:c>
      <x:c r="F38" t="str">
        <x:v>가상생성</x:v>
      </x:c>
    </x:row>
    <x:row r="39" ht="21" customHeight="1">
      <x:c r="A39" t="str">
        <x:v>EXA-0010</x:v>
      </x:c>
      <x:c r="B39" t="n">
        <x:v>2024</x:v>
      </x:c>
      <x:c r="C39" s="10" t="n">
        <x:v>195781</x:v>
      </x:c>
      <x:c r="D39" t="str">
        <x:v>연간 확정(가상)</x:v>
      </x:c>
      <x:c r="E39" t="str">
        <x:v>KRW 환산, 만원</x:v>
      </x:c>
      <x:c r="F39" t="str">
        <x:v>가상생성</x:v>
      </x:c>
    </x:row>
    <x:row r="40" ht="21" customHeight="1">
      <x:c r="A40" t="str">
        <x:v>EXA-0010</x:v>
      </x:c>
      <x:c r="B40" t="n">
        <x:v>2025</x:v>
      </x:c>
      <x:c r="C40" s="10" t="n">
        <x:v>119501</x:v>
      </x:c>
      <x:c r="D40" t="str">
        <x:v>연간 확정(가상)</x:v>
      </x:c>
      <x:c r="E40" t="str">
        <x:v>KRW 환산, 만원</x:v>
      </x:c>
      <x:c r="F40" t="str">
        <x:v>가상생성</x:v>
      </x:c>
    </x:row>
    <x:row r="41" ht="21" customHeight="1">
      <x:c r="A41" t="str">
        <x:v>EXA-0010</x:v>
      </x:c>
      <x:c r="B41" t="n">
        <x:v>2026</x:v>
      </x:c>
      <x:c r="C41" s="10" t="n">
        <x:v>49226</x:v>
      </x:c>
      <x:c r="D41" t="str">
        <x:v>1~3분기 누계</x:v>
      </x:c>
      <x:c r="E41" t="str">
        <x:v>KRW 환산, 만원</x:v>
      </x:c>
      <x:c r="F41" t="str">
        <x:v>가상생성</x:v>
      </x:c>
    </x:row>
    <x:row r="42" ht="21" customHeight="1">
      <x:c r="A42" t="str">
        <x:v>EXA-0011</x:v>
      </x:c>
      <x:c r="B42" t="n">
        <x:v>2023</x:v>
      </x:c>
      <x:c r="C42" s="10" t="n">
        <x:v>44177</x:v>
      </x:c>
      <x:c r="D42" t="str">
        <x:v>연간 확정(가상)</x:v>
      </x:c>
      <x:c r="E42" t="str">
        <x:v>KRW 환산, 만원</x:v>
      </x:c>
      <x:c r="F42" t="str">
        <x:v>가상생성</x:v>
      </x:c>
    </x:row>
    <x:row r="43" ht="21" customHeight="1">
      <x:c r="A43" t="str">
        <x:v>EXA-0011</x:v>
      </x:c>
      <x:c r="B43" t="n">
        <x:v>2024</x:v>
      </x:c>
      <x:c r="C43" s="10" t="n">
        <x:v>31567</x:v>
      </x:c>
      <x:c r="D43" t="str">
        <x:v>연간 확정(가상)</x:v>
      </x:c>
      <x:c r="E43" t="str">
        <x:v>KRW 환산, 만원</x:v>
      </x:c>
      <x:c r="F43" t="str">
        <x:v>가상생성</x:v>
      </x:c>
    </x:row>
    <x:row r="44" ht="21" customHeight="1">
      <x:c r="A44" t="str">
        <x:v>EXA-0011</x:v>
      </x:c>
      <x:c r="B44" t="n">
        <x:v>2025</x:v>
      </x:c>
      <x:c r="C44" s="10" t="n">
        <x:v>51390</x:v>
      </x:c>
      <x:c r="D44" t="str">
        <x:v>연간 확정(가상)</x:v>
      </x:c>
      <x:c r="E44" t="str">
        <x:v>KRW 환산, 만원</x:v>
      </x:c>
      <x:c r="F44" t="str">
        <x:v>가상생성</x:v>
      </x:c>
    </x:row>
    <x:row r="45" ht="21" customHeight="1">
      <x:c r="A45" t="str">
        <x:v>EXA-0011</x:v>
      </x:c>
      <x:c r="B45" t="n">
        <x:v>2026</x:v>
      </x:c>
      <x:c r="C45" s="10" t="n">
        <x:v>34819</x:v>
      </x:c>
      <x:c r="D45" t="str">
        <x:v>1~3분기 누계</x:v>
      </x:c>
      <x:c r="E45" t="str">
        <x:v>KRW 환산, 만원</x:v>
      </x:c>
      <x:c r="F45" t="str">
        <x:v>가상생성</x:v>
      </x:c>
    </x:row>
    <x:row r="46" ht="21" customHeight="1">
      <x:c r="A46" t="str">
        <x:v>EXA-0012</x:v>
      </x:c>
      <x:c r="B46" t="n">
        <x:v>2023</x:v>
      </x:c>
      <x:c r="C46" s="10" t="n">
        <x:v>68974</x:v>
      </x:c>
      <x:c r="D46" t="str">
        <x:v>연간 확정(가상)</x:v>
      </x:c>
      <x:c r="E46" t="str">
        <x:v>KRW 환산, 만원</x:v>
      </x:c>
      <x:c r="F46" t="str">
        <x:v>가상생성</x:v>
      </x:c>
    </x:row>
    <x:row r="47" ht="21" customHeight="1">
      <x:c r="A47" t="str">
        <x:v>EXA-0012</x:v>
      </x:c>
      <x:c r="B47" t="n">
        <x:v>2024</x:v>
      </x:c>
      <x:c r="C47" s="10" t="n">
        <x:v>85064</x:v>
      </x:c>
      <x:c r="D47" t="str">
        <x:v>연간 확정(가상)</x:v>
      </x:c>
      <x:c r="E47" t="str">
        <x:v>KRW 환산, 만원</x:v>
      </x:c>
      <x:c r="F47" t="str">
        <x:v>가상생성</x:v>
      </x:c>
    </x:row>
    <x:row r="48" ht="21" customHeight="1">
      <x:c r="A48" t="str">
        <x:v>EXA-0012</x:v>
      </x:c>
      <x:c r="B48" t="n">
        <x:v>2025</x:v>
      </x:c>
      <x:c r="C48" s="10" t="n">
        <x:v>109072</x:v>
      </x:c>
      <x:c r="D48" t="str">
        <x:v>연간 확정(가상)</x:v>
      </x:c>
      <x:c r="E48" t="str">
        <x:v>KRW 환산, 만원</x:v>
      </x:c>
      <x:c r="F48" t="str">
        <x:v>가상생성</x:v>
      </x:c>
    </x:row>
    <x:row r="49" ht="21" customHeight="1">
      <x:c r="A49" t="str">
        <x:v>EXA-0012</x:v>
      </x:c>
      <x:c r="B49" t="n">
        <x:v>2026</x:v>
      </x:c>
      <x:c r="C49" s="10" t="n">
        <x:v>58047</x:v>
      </x:c>
      <x:c r="D49" t="str">
        <x:v>1~3분기 누계</x:v>
      </x:c>
      <x:c r="E49" t="str">
        <x:v>KRW 환산, 만원</x:v>
      </x:c>
      <x:c r="F49" t="str">
        <x:v>가상생성</x:v>
      </x:c>
    </x:row>
    <x:row r="50" ht="21" customHeight="1">
      <x:c r="A50" t="str">
        <x:v>EXA-0013</x:v>
      </x:c>
      <x:c r="B50" t="n">
        <x:v>2023</x:v>
      </x:c>
      <x:c r="C50" s="10" t="n">
        <x:v>106268</x:v>
      </x:c>
      <x:c r="D50" t="str">
        <x:v>연간 확정(가상)</x:v>
      </x:c>
      <x:c r="E50" t="str">
        <x:v>KRW 환산, 만원</x:v>
      </x:c>
      <x:c r="F50" t="str">
        <x:v>가상생성</x:v>
      </x:c>
    </x:row>
    <x:row r="51" ht="21" customHeight="1">
      <x:c r="A51" t="str">
        <x:v>EXA-0013</x:v>
      </x:c>
      <x:c r="B51" t="n">
        <x:v>2024</x:v>
      </x:c>
      <x:c r="C51" s="10" t="n">
        <x:v>140900</x:v>
      </x:c>
      <x:c r="D51" t="str">
        <x:v>연간 확정(가상)</x:v>
      </x:c>
      <x:c r="E51" t="str">
        <x:v>KRW 환산, 만원</x:v>
      </x:c>
      <x:c r="F51" t="str">
        <x:v>가상생성</x:v>
      </x:c>
    </x:row>
    <x:row r="52" ht="21" customHeight="1">
      <x:c r="A52" t="str">
        <x:v>EXA-0013</x:v>
      </x:c>
      <x:c r="B52" t="n">
        <x:v>2025</x:v>
      </x:c>
      <x:c r="C52" s="10" t="n">
        <x:v>198331</x:v>
      </x:c>
      <x:c r="D52" t="str">
        <x:v>연간 확정(가상)</x:v>
      </x:c>
      <x:c r="E52" t="str">
        <x:v>KRW 환산, 만원</x:v>
      </x:c>
      <x:c r="F52" t="str">
        <x:v>가상생성</x:v>
      </x:c>
    </x:row>
    <x:row r="53" ht="21" customHeight="1">
      <x:c r="A53" t="str">
        <x:v>EXA-0013</x:v>
      </x:c>
      <x:c r="B53" t="n">
        <x:v>2026</x:v>
      </x:c>
      <x:c r="C53" s="10" t="n">
        <x:v>108782</x:v>
      </x:c>
      <x:c r="D53" t="str">
        <x:v>1~3분기 누계</x:v>
      </x:c>
      <x:c r="E53" t="str">
        <x:v>KRW 환산, 만원</x:v>
      </x:c>
      <x:c r="F53" t="str">
        <x:v>가상생성</x:v>
      </x:c>
    </x:row>
    <x:row r="54" ht="21" customHeight="1">
      <x:c r="A54" t="str">
        <x:v>EXA-0014</x:v>
      </x:c>
      <x:c r="B54" t="n">
        <x:v>2023</x:v>
      </x:c>
      <x:c r="C54" s="10" t="n">
        <x:v>178795</x:v>
      </x:c>
      <x:c r="D54" t="str">
        <x:v>연간 확정(가상)</x:v>
      </x:c>
      <x:c r="E54" t="str">
        <x:v>KRW 환산, 만원</x:v>
      </x:c>
      <x:c r="F54" t="str">
        <x:v>가상생성</x:v>
      </x:c>
    </x:row>
    <x:row r="55" ht="21" customHeight="1">
      <x:c r="A55" t="str">
        <x:v>EXA-0014</x:v>
      </x:c>
      <x:c r="B55" t="n">
        <x:v>2024</x:v>
      </x:c>
      <x:c r="C55" s="10" t="n">
        <x:v>155028</x:v>
      </x:c>
      <x:c r="D55" t="str">
        <x:v>연간 확정(가상)</x:v>
      </x:c>
      <x:c r="E55" t="str">
        <x:v>KRW 환산, 만원</x:v>
      </x:c>
      <x:c r="F55" t="str">
        <x:v>가상생성</x:v>
      </x:c>
    </x:row>
    <x:row r="56" ht="21" customHeight="1">
      <x:c r="A56" t="str">
        <x:v>EXA-0014</x:v>
      </x:c>
      <x:c r="B56" t="n">
        <x:v>2025</x:v>
      </x:c>
      <x:c r="C56" s="10" t="n">
        <x:v>217515</x:v>
      </x:c>
      <x:c r="D56" t="str">
        <x:v>연간 확정(가상)</x:v>
      </x:c>
      <x:c r="E56" t="str">
        <x:v>KRW 환산, 만원</x:v>
      </x:c>
      <x:c r="F56" t="str">
        <x:v>가상생성</x:v>
      </x:c>
    </x:row>
    <x:row r="57" ht="21" customHeight="1">
      <x:c r="A57" t="str">
        <x:v>EXA-0014</x:v>
      </x:c>
      <x:c r="B57" t="n">
        <x:v>2026</x:v>
      </x:c>
      <x:c r="C57" s="10" t="n">
        <x:v>164661</x:v>
      </x:c>
      <x:c r="D57" t="str">
        <x:v>1~3분기 누계</x:v>
      </x:c>
      <x:c r="E57" t="str">
        <x:v>KRW 환산, 만원</x:v>
      </x:c>
      <x:c r="F57" t="str">
        <x:v>가상생성</x:v>
      </x:c>
    </x:row>
    <x:row r="58" ht="21" customHeight="1">
      <x:c r="A58" t="str">
        <x:v>EXA-0015</x:v>
      </x:c>
      <x:c r="B58" t="n">
        <x:v>2023</x:v>
      </x:c>
      <x:c r="C58" s="10" t="n">
        <x:v>27184</x:v>
      </x:c>
      <x:c r="D58" t="str">
        <x:v>연간 확정(가상)</x:v>
      </x:c>
      <x:c r="E58" t="str">
        <x:v>KRW 환산, 만원</x:v>
      </x:c>
      <x:c r="F58" t="str">
        <x:v>가상생성</x:v>
      </x:c>
    </x:row>
    <x:row r="59" ht="21" customHeight="1">
      <x:c r="A59" t="str">
        <x:v>EXA-0015</x:v>
      </x:c>
      <x:c r="B59" t="n">
        <x:v>2024</x:v>
      </x:c>
      <x:c r="C59" s="10" t="n">
        <x:v>22299</x:v>
      </x:c>
      <x:c r="D59" t="str">
        <x:v>연간 확정(가상)</x:v>
      </x:c>
      <x:c r="E59" t="str">
        <x:v>KRW 환산, 만원</x:v>
      </x:c>
      <x:c r="F59" t="str">
        <x:v>가상생성</x:v>
      </x:c>
    </x:row>
    <x:row r="60" ht="21" customHeight="1">
      <x:c r="A60" t="str">
        <x:v>EXA-0015</x:v>
      </x:c>
      <x:c r="B60" t="n">
        <x:v>2025</x:v>
      </x:c>
      <x:c r="C60" s="10" t="n">
        <x:v>35669</x:v>
      </x:c>
      <x:c r="D60" t="str">
        <x:v>연간 확정(가상)</x:v>
      </x:c>
      <x:c r="E60" t="str">
        <x:v>KRW 환산, 만원</x:v>
      </x:c>
      <x:c r="F60" t="str">
        <x:v>가상생성</x:v>
      </x:c>
    </x:row>
    <x:row r="61" ht="21" customHeight="1">
      <x:c r="A61" t="str">
        <x:v>EXA-0015</x:v>
      </x:c>
      <x:c r="B61" t="n">
        <x:v>2026</x:v>
      </x:c>
      <x:c r="C61" s="10" t="n">
        <x:v>31083</x:v>
      </x:c>
      <x:c r="D61" t="str">
        <x:v>1~3분기 누계</x:v>
      </x:c>
      <x:c r="E61" t="str">
        <x:v>KRW 환산, 만원</x:v>
      </x:c>
      <x:c r="F61" t="str">
        <x:v>가상생성</x:v>
      </x:c>
    </x:row>
    <x:row r="62" ht="21" customHeight="1">
      <x:c r="A62" t="str">
        <x:v>EXA-0016</x:v>
      </x:c>
      <x:c r="B62" t="n">
        <x:v>2023</x:v>
      </x:c>
      <x:c r="C62" s="10" t="n">
        <x:v>76349</x:v>
      </x:c>
      <x:c r="D62" t="str">
        <x:v>연간 확정(가상)</x:v>
      </x:c>
      <x:c r="E62" t="str">
        <x:v>KRW 환산, 만원</x:v>
      </x:c>
      <x:c r="F62" t="str">
        <x:v>가상생성</x:v>
      </x:c>
    </x:row>
    <x:row r="63" ht="21" customHeight="1">
      <x:c r="A63" t="str">
        <x:v>EXA-0016</x:v>
      </x:c>
      <x:c r="B63" t="n">
        <x:v>2024</x:v>
      </x:c>
      <x:c r="C63" s="10" t="n">
        <x:v>107244</x:v>
      </x:c>
      <x:c r="D63" t="str">
        <x:v>연간 확정(가상)</x:v>
      </x:c>
      <x:c r="E63" t="str">
        <x:v>KRW 환산, 만원</x:v>
      </x:c>
      <x:c r="F63" t="str">
        <x:v>가상생성</x:v>
      </x:c>
    </x:row>
    <x:row r="64" ht="21" customHeight="1">
      <x:c r="A64" t="str">
        <x:v>EXA-0016</x:v>
      </x:c>
      <x:c r="B64" t="n">
        <x:v>2025</x:v>
      </x:c>
      <x:c r="C64" s="10" t="n">
        <x:v>125599</x:v>
      </x:c>
      <x:c r="D64" t="str">
        <x:v>연간 확정(가상)</x:v>
      </x:c>
      <x:c r="E64" t="str">
        <x:v>KRW 환산, 만원</x:v>
      </x:c>
      <x:c r="F64" t="str">
        <x:v>가상생성</x:v>
      </x:c>
    </x:row>
    <x:row r="65" ht="21" customHeight="1">
      <x:c r="A65" t="str">
        <x:v>EXA-0016</x:v>
      </x:c>
      <x:c r="B65" t="n">
        <x:v>2026</x:v>
      </x:c>
      <x:c r="C65" s="10" t="n">
        <x:v>45595</x:v>
      </x:c>
      <x:c r="D65" t="str">
        <x:v>1~3분기 누계</x:v>
      </x:c>
      <x:c r="E65" t="str">
        <x:v>KRW 환산, 만원</x:v>
      </x:c>
      <x:c r="F65" t="str">
        <x:v>가상생성</x:v>
      </x:c>
    </x:row>
    <x:row r="66" ht="21" customHeight="1">
      <x:c r="A66" t="str">
        <x:v>EXA-0017</x:v>
      </x:c>
      <x:c r="B66" t="n">
        <x:v>2023</x:v>
      </x:c>
      <x:c r="C66" s="10" t="n">
        <x:v>26160</x:v>
      </x:c>
      <x:c r="D66" t="str">
        <x:v>연간 확정(가상)</x:v>
      </x:c>
      <x:c r="E66" t="str">
        <x:v>KRW 환산, 만원</x:v>
      </x:c>
      <x:c r="F66" t="str">
        <x:v>가상생성</x:v>
      </x:c>
    </x:row>
    <x:row r="67" ht="21" customHeight="1">
      <x:c r="A67" t="str">
        <x:v>EXA-0017</x:v>
      </x:c>
      <x:c r="B67" t="n">
        <x:v>2024</x:v>
      </x:c>
      <x:c r="C67" s="10" t="n">
        <x:v>28818</x:v>
      </x:c>
      <x:c r="D67" t="str">
        <x:v>연간 확정(가상)</x:v>
      </x:c>
      <x:c r="E67" t="str">
        <x:v>KRW 환산, 만원</x:v>
      </x:c>
      <x:c r="F67" t="str">
        <x:v>가상생성</x:v>
      </x:c>
    </x:row>
    <x:row r="68" ht="21" customHeight="1">
      <x:c r="A68" t="str">
        <x:v>EXA-0017</x:v>
      </x:c>
      <x:c r="B68" t="n">
        <x:v>2025</x:v>
      </x:c>
      <x:c r="C68" s="10" t="n">
        <x:v>33069</x:v>
      </x:c>
      <x:c r="D68" t="str">
        <x:v>연간 확정(가상)</x:v>
      </x:c>
      <x:c r="E68" t="str">
        <x:v>KRW 환산, 만원</x:v>
      </x:c>
      <x:c r="F68" t="str">
        <x:v>가상생성</x:v>
      </x:c>
    </x:row>
    <x:row r="69" ht="21" customHeight="1">
      <x:c r="A69" t="str">
        <x:v>EXA-0017</x:v>
      </x:c>
      <x:c r="B69" t="n">
        <x:v>2026</x:v>
      </x:c>
      <x:c r="C69" s="10" t="n">
        <x:v>23028</x:v>
      </x:c>
      <x:c r="D69" t="str">
        <x:v>1~3분기 누계</x:v>
      </x:c>
      <x:c r="E69" t="str">
        <x:v>KRW 환산, 만원</x:v>
      </x:c>
      <x:c r="F69" t="str">
        <x:v>가상생성</x:v>
      </x:c>
    </x:row>
    <x:row r="70" ht="21" customHeight="1">
      <x:c r="A70" t="str">
        <x:v>EXA-0018</x:v>
      </x:c>
      <x:c r="B70" t="n">
        <x:v>2023</x:v>
      </x:c>
      <x:c r="C70" s="10" t="n">
        <x:v>165871</x:v>
      </x:c>
      <x:c r="D70" t="str">
        <x:v>연간 확정(가상)</x:v>
      </x:c>
      <x:c r="E70" t="str">
        <x:v>KRW 환산, 만원</x:v>
      </x:c>
      <x:c r="F70" t="str">
        <x:v>가상생성</x:v>
      </x:c>
    </x:row>
    <x:row r="71" ht="21" customHeight="1">
      <x:c r="A71" t="str">
        <x:v>EXA-0018</x:v>
      </x:c>
      <x:c r="B71" t="n">
        <x:v>2024</x:v>
      </x:c>
      <x:c r="C71" s="10" t="n">
        <x:v>170843</x:v>
      </x:c>
      <x:c r="D71" t="str">
        <x:v>연간 확정(가상)</x:v>
      </x:c>
      <x:c r="E71" t="str">
        <x:v>KRW 환산, 만원</x:v>
      </x:c>
      <x:c r="F71" t="str">
        <x:v>가상생성</x:v>
      </x:c>
    </x:row>
    <x:row r="72" ht="21" customHeight="1">
      <x:c r="A72" t="str">
        <x:v>EXA-0018</x:v>
      </x:c>
      <x:c r="B72" t="n">
        <x:v>2025</x:v>
      </x:c>
      <x:c r="C72" s="10" t="n">
        <x:v>200260</x:v>
      </x:c>
      <x:c r="D72" t="str">
        <x:v>연간 확정(가상)</x:v>
      </x:c>
      <x:c r="E72" t="str">
        <x:v>KRW 환산, 만원</x:v>
      </x:c>
      <x:c r="F72" t="str">
        <x:v>가상생성</x:v>
      </x:c>
    </x:row>
    <x:row r="73" ht="21" customHeight="1">
      <x:c r="A73" t="str">
        <x:v>EXA-0018</x:v>
      </x:c>
      <x:c r="B73" t="n">
        <x:v>2026</x:v>
      </x:c>
      <x:c r="C73" s="10" t="n">
        <x:v>148585</x:v>
      </x:c>
      <x:c r="D73" t="str">
        <x:v>1~3분기 누계</x:v>
      </x:c>
      <x:c r="E73" t="str">
        <x:v>KRW 환산, 만원</x:v>
      </x:c>
      <x:c r="F73" t="str">
        <x:v>가상생성</x:v>
      </x:c>
    </x:row>
    <x:row r="74" ht="21" customHeight="1">
      <x:c r="A74" t="str">
        <x:v>EXA-0019</x:v>
      </x:c>
      <x:c r="B74" t="n">
        <x:v>2023</x:v>
      </x:c>
      <x:c r="C74" s="10" t="n">
        <x:v>188051</x:v>
      </x:c>
      <x:c r="D74" t="str">
        <x:v>연간 확정(가상)</x:v>
      </x:c>
      <x:c r="E74" t="str">
        <x:v>KRW 환산, 만원</x:v>
      </x:c>
      <x:c r="F74" t="str">
        <x:v>가상생성</x:v>
      </x:c>
    </x:row>
    <x:row r="75" ht="21" customHeight="1">
      <x:c r="A75" t="str">
        <x:v>EXA-0019</x:v>
      </x:c>
      <x:c r="B75" t="n">
        <x:v>2024</x:v>
      </x:c>
      <x:c r="C75" s="10" t="n">
        <x:v>262964</x:v>
      </x:c>
      <x:c r="D75" t="str">
        <x:v>연간 확정(가상)</x:v>
      </x:c>
      <x:c r="E75" t="str">
        <x:v>KRW 환산, 만원</x:v>
      </x:c>
      <x:c r="F75" t="str">
        <x:v>가상생성</x:v>
      </x:c>
    </x:row>
    <x:row r="76" ht="21" customHeight="1">
      <x:c r="A76" t="str">
        <x:v>EXA-0019</x:v>
      </x:c>
      <x:c r="B76" t="n">
        <x:v>2025</x:v>
      </x:c>
      <x:c r="C76" s="10" t="n">
        <x:v>228805</x:v>
      </x:c>
      <x:c r="D76" t="str">
        <x:v>연간 확정(가상)</x:v>
      </x:c>
      <x:c r="E76" t="str">
        <x:v>KRW 환산, 만원</x:v>
      </x:c>
      <x:c r="F76" t="str">
        <x:v>가상생성</x:v>
      </x:c>
    </x:row>
    <x:row r="77" ht="21" customHeight="1">
      <x:c r="A77" t="str">
        <x:v>EXA-0019</x:v>
      </x:c>
      <x:c r="B77" t="n">
        <x:v>2026</x:v>
      </x:c>
      <x:c r="C77" s="10" t="n">
        <x:v>120428</x:v>
      </x:c>
      <x:c r="D77" t="str">
        <x:v>1~3분기 누계</x:v>
      </x:c>
      <x:c r="E77" t="str">
        <x:v>KRW 환산, 만원</x:v>
      </x:c>
      <x:c r="F77" t="str">
        <x:v>가상생성</x:v>
      </x:c>
    </x:row>
    <x:row r="78" ht="21" customHeight="1">
      <x:c r="A78" t="str">
        <x:v>EXA-0020</x:v>
      </x:c>
      <x:c r="B78" t="n">
        <x:v>2023</x:v>
      </x:c>
      <x:c r="C78" s="10" t="n">
        <x:v>34130</x:v>
      </x:c>
      <x:c r="D78" t="str">
        <x:v>연간 확정(가상)</x:v>
      </x:c>
      <x:c r="E78" t="str">
        <x:v>KRW 환산, 만원</x:v>
      </x:c>
      <x:c r="F78" t="str">
        <x:v>가상생성</x:v>
      </x:c>
    </x:row>
    <x:row r="79" ht="21" customHeight="1">
      <x:c r="A79" t="str">
        <x:v>EXA-0020</x:v>
      </x:c>
      <x:c r="B79" t="n">
        <x:v>2024</x:v>
      </x:c>
      <x:c r="C79" s="10" t="n">
        <x:v>32725</x:v>
      </x:c>
      <x:c r="D79" t="str">
        <x:v>연간 확정(가상)</x:v>
      </x:c>
      <x:c r="E79" t="str">
        <x:v>KRW 환산, 만원</x:v>
      </x:c>
      <x:c r="F79" t="str">
        <x:v>가상생성</x:v>
      </x:c>
    </x:row>
    <x:row r="80" ht="21" customHeight="1">
      <x:c r="A80" t="str">
        <x:v>EXA-0020</x:v>
      </x:c>
      <x:c r="B80" t="n">
        <x:v>2025</x:v>
      </x:c>
      <x:c r="C80" s="10" t="n">
        <x:v>35266</x:v>
      </x:c>
      <x:c r="D80" t="str">
        <x:v>연간 확정(가상)</x:v>
      </x:c>
      <x:c r="E80" t="str">
        <x:v>KRW 환산, 만원</x:v>
      </x:c>
      <x:c r="F80" t="str">
        <x:v>가상생성</x:v>
      </x:c>
    </x:row>
    <x:row r="81" ht="21" customHeight="1">
      <x:c r="A81" t="str">
        <x:v>EXA-0020</x:v>
      </x:c>
      <x:c r="B81" t="n">
        <x:v>2026</x:v>
      </x:c>
      <x:c r="C81" s="10" t="n">
        <x:v>27524</x:v>
      </x:c>
      <x:c r="D81" t="str">
        <x:v>1~3분기 누계</x:v>
      </x:c>
      <x:c r="E81" t="str">
        <x:v>KRW 환산, 만원</x:v>
      </x:c>
      <x:c r="F81" t="str">
        <x:v>가상생성</x:v>
      </x:c>
    </x:row>
    <x:row r="82" ht="21" customHeight="1">
      <x:c r="A82" t="str">
        <x:v>EXA-0021</x:v>
      </x:c>
      <x:c r="B82" t="n">
        <x:v>2023</x:v>
      </x:c>
      <x:c r="C82" s="10" t="n">
        <x:v>34210</x:v>
      </x:c>
      <x:c r="D82" t="str">
        <x:v>연간 확정(가상)</x:v>
      </x:c>
      <x:c r="E82" t="str">
        <x:v>KRW 환산, 만원</x:v>
      </x:c>
      <x:c r="F82" t="str">
        <x:v>가상생성</x:v>
      </x:c>
    </x:row>
    <x:row r="83" ht="21" customHeight="1">
      <x:c r="A83" t="str">
        <x:v>EXA-0021</x:v>
      </x:c>
      <x:c r="B83" t="n">
        <x:v>2024</x:v>
      </x:c>
      <x:c r="C83" s="10" t="n">
        <x:v>25405</x:v>
      </x:c>
      <x:c r="D83" t="str">
        <x:v>연간 확정(가상)</x:v>
      </x:c>
      <x:c r="E83" t="str">
        <x:v>KRW 환산, 만원</x:v>
      </x:c>
      <x:c r="F83" t="str">
        <x:v>가상생성</x:v>
      </x:c>
    </x:row>
    <x:row r="84" ht="21" customHeight="1">
      <x:c r="A84" t="str">
        <x:v>EXA-0021</x:v>
      </x:c>
      <x:c r="B84" t="n">
        <x:v>2025</x:v>
      </x:c>
      <x:c r="C84" s="10" t="n">
        <x:v>37922</x:v>
      </x:c>
      <x:c r="D84" t="str">
        <x:v>연간 확정(가상)</x:v>
      </x:c>
      <x:c r="E84" t="str">
        <x:v>KRW 환산, 만원</x:v>
      </x:c>
      <x:c r="F84" t="str">
        <x:v>가상생성</x:v>
      </x:c>
    </x:row>
    <x:row r="85" ht="21" customHeight="1">
      <x:c r="A85" t="str">
        <x:v>EXA-0021</x:v>
      </x:c>
      <x:c r="B85" t="n">
        <x:v>2026</x:v>
      </x:c>
      <x:c r="C85" s="10" t="n">
        <x:v>32191</x:v>
      </x:c>
      <x:c r="D85" t="str">
        <x:v>1~3분기 누계</x:v>
      </x:c>
      <x:c r="E85" t="str">
        <x:v>KRW 환산, 만원</x:v>
      </x:c>
      <x:c r="F85" t="str">
        <x:v>가상생성</x:v>
      </x:c>
    </x:row>
    <x:row r="86" ht="21" customHeight="1">
      <x:c r="A86" t="str">
        <x:v>EXA-0022</x:v>
      </x:c>
      <x:c r="B86" t="n">
        <x:v>2023</x:v>
      </x:c>
      <x:c r="C86" s="10" t="n">
        <x:v>220653</x:v>
      </x:c>
      <x:c r="D86" t="str">
        <x:v>연간 확정(가상)</x:v>
      </x:c>
      <x:c r="E86" t="str">
        <x:v>KRW 환산, 만원</x:v>
      </x:c>
      <x:c r="F86" t="str">
        <x:v>가상생성</x:v>
      </x:c>
    </x:row>
    <x:row r="87" ht="21" customHeight="1">
      <x:c r="A87" t="str">
        <x:v>EXA-0022</x:v>
      </x:c>
      <x:c r="B87" t="n">
        <x:v>2024</x:v>
      </x:c>
      <x:c r="C87" s="10" t="n">
        <x:v>289909</x:v>
      </x:c>
      <x:c r="D87" t="str">
        <x:v>연간 확정(가상)</x:v>
      </x:c>
      <x:c r="E87" t="str">
        <x:v>KRW 환산, 만원</x:v>
      </x:c>
      <x:c r="F87" t="str">
        <x:v>가상생성</x:v>
      </x:c>
    </x:row>
    <x:row r="88" ht="21" customHeight="1">
      <x:c r="A88" t="str">
        <x:v>EXA-0022</x:v>
      </x:c>
      <x:c r="B88" t="n">
        <x:v>2025</x:v>
      </x:c>
      <x:c r="C88" s="10" t="n">
        <x:v>373656</x:v>
      </x:c>
      <x:c r="D88" t="str">
        <x:v>연간 확정(가상)</x:v>
      </x:c>
      <x:c r="E88" t="str">
        <x:v>KRW 환산, 만원</x:v>
      </x:c>
      <x:c r="F88" t="str">
        <x:v>가상생성</x:v>
      </x:c>
    </x:row>
    <x:row r="89" ht="21" customHeight="1">
      <x:c r="A89" t="str">
        <x:v>EXA-0022</x:v>
      </x:c>
      <x:c r="B89" t="n">
        <x:v>2026</x:v>
      </x:c>
      <x:c r="C89" s="10" t="n">
        <x:v>156527</x:v>
      </x:c>
      <x:c r="D89" t="str">
        <x:v>1~3분기 누계</x:v>
      </x:c>
      <x:c r="E89" t="str">
        <x:v>KRW 환산, 만원</x:v>
      </x:c>
      <x:c r="F89" t="str">
        <x:v>가상생성</x:v>
      </x:c>
    </x:row>
    <x:row r="90" ht="21" customHeight="1">
      <x:c r="A90" t="str">
        <x:v>EXA-0023</x:v>
      </x:c>
      <x:c r="B90" t="n">
        <x:v>2023</x:v>
      </x:c>
      <x:c r="C90" s="10" t="n">
        <x:v>182739</x:v>
      </x:c>
      <x:c r="D90" t="str">
        <x:v>연간 확정(가상)</x:v>
      </x:c>
      <x:c r="E90" t="str">
        <x:v>KRW 환산, 만원</x:v>
      </x:c>
      <x:c r="F90" t="str">
        <x:v>가상생성</x:v>
      </x:c>
    </x:row>
    <x:row r="91" ht="21" customHeight="1">
      <x:c r="A91" t="str">
        <x:v>EXA-0023</x:v>
      </x:c>
      <x:c r="B91" t="n">
        <x:v>2024</x:v>
      </x:c>
      <x:c r="C91" s="10" t="n">
        <x:v>214045</x:v>
      </x:c>
      <x:c r="D91" t="str">
        <x:v>연간 확정(가상)</x:v>
      </x:c>
      <x:c r="E91" t="str">
        <x:v>KRW 환산, 만원</x:v>
      </x:c>
      <x:c r="F91" t="str">
        <x:v>가상생성</x:v>
      </x:c>
    </x:row>
    <x:row r="92" ht="21" customHeight="1">
      <x:c r="A92" t="str">
        <x:v>EXA-0023</x:v>
      </x:c>
      <x:c r="B92" t="n">
        <x:v>2025</x:v>
      </x:c>
      <x:c r="C92" s="10" t="n">
        <x:v>142874</x:v>
      </x:c>
      <x:c r="D92" t="str">
        <x:v>연간 확정(가상)</x:v>
      </x:c>
      <x:c r="E92" t="str">
        <x:v>KRW 환산, 만원</x:v>
      </x:c>
      <x:c r="F92" t="str">
        <x:v>가상생성</x:v>
      </x:c>
    </x:row>
    <x:row r="93" ht="21" customHeight="1">
      <x:c r="A93" t="str">
        <x:v>EXA-0023</x:v>
      </x:c>
      <x:c r="B93" t="n">
        <x:v>2026</x:v>
      </x:c>
      <x:c r="C93" s="10" t="n">
        <x:v>96720</x:v>
      </x:c>
      <x:c r="D93" t="str">
        <x:v>1~3분기 누계</x:v>
      </x:c>
      <x:c r="E93" t="str">
        <x:v>KRW 환산, 만원</x:v>
      </x:c>
      <x:c r="F93" t="str">
        <x:v>가상생성</x:v>
      </x:c>
    </x:row>
    <x:row r="94" ht="21" customHeight="1">
      <x:c r="A94" t="str">
        <x:v>EXA-0024</x:v>
      </x:c>
      <x:c r="B94" t="n">
        <x:v>2023</x:v>
      </x:c>
      <x:c r="C94" s="10" t="n">
        <x:v>69179</x:v>
      </x:c>
      <x:c r="D94" t="str">
        <x:v>연간 확정(가상)</x:v>
      </x:c>
      <x:c r="E94" t="str">
        <x:v>KRW 환산, 만원</x:v>
      </x:c>
      <x:c r="F94" t="str">
        <x:v>가상생성</x:v>
      </x:c>
    </x:row>
    <x:row r="95" ht="21" customHeight="1">
      <x:c r="A95" t="str">
        <x:v>EXA-0024</x:v>
      </x:c>
      <x:c r="B95" t="n">
        <x:v>2024</x:v>
      </x:c>
      <x:c r="C95" s="10" t="n">
        <x:v>83645</x:v>
      </x:c>
      <x:c r="D95" t="str">
        <x:v>연간 확정(가상)</x:v>
      </x:c>
      <x:c r="E95" t="str">
        <x:v>KRW 환산, 만원</x:v>
      </x:c>
      <x:c r="F95" t="str">
        <x:v>가상생성</x:v>
      </x:c>
    </x:row>
    <x:row r="96" ht="21" customHeight="1">
      <x:c r="A96" t="str">
        <x:v>EXA-0024</x:v>
      </x:c>
      <x:c r="B96" t="n">
        <x:v>2025</x:v>
      </x:c>
      <x:c r="C96" s="10" t="n">
        <x:v>133372</x:v>
      </x:c>
      <x:c r="D96" t="str">
        <x:v>연간 확정(가상)</x:v>
      </x:c>
      <x:c r="E96" t="str">
        <x:v>KRW 환산, 만원</x:v>
      </x:c>
      <x:c r="F96" t="str">
        <x:v>가상생성</x:v>
      </x:c>
    </x:row>
    <x:row r="97" ht="21" customHeight="1">
      <x:c r="A97" t="str">
        <x:v>EXA-0024</x:v>
      </x:c>
      <x:c r="B97" t="n">
        <x:v>2026</x:v>
      </x:c>
      <x:c r="C97" s="10" t="n">
        <x:v>116785</x:v>
      </x:c>
      <x:c r="D97" t="str">
        <x:v>1~3분기 누계</x:v>
      </x:c>
      <x:c r="E97" t="str">
        <x:v>KRW 환산, 만원</x:v>
      </x:c>
      <x:c r="F97" t="str">
        <x:v>가상생성</x:v>
      </x:c>
    </x:row>
    <x:row r="98" ht="21" customHeight="1">
      <x:c r="A98" t="str">
        <x:v>EXA-0025</x:v>
      </x:c>
      <x:c r="B98" t="n">
        <x:v>2023</x:v>
      </x:c>
      <x:c r="C98" s="10" t="n">
        <x:v>129564</x:v>
      </x:c>
      <x:c r="D98" t="str">
        <x:v>연간 확정(가상)</x:v>
      </x:c>
      <x:c r="E98" t="str">
        <x:v>KRW 환산, 만원</x:v>
      </x:c>
      <x:c r="F98" t="str">
        <x:v>가상생성</x:v>
      </x:c>
    </x:row>
    <x:row r="99" ht="21" customHeight="1">
      <x:c r="A99" t="str">
        <x:v>EXA-0025</x:v>
      </x:c>
      <x:c r="B99" t="n">
        <x:v>2024</x:v>
      </x:c>
      <x:c r="C99" s="10" t="n">
        <x:v>139386</x:v>
      </x:c>
      <x:c r="D99" t="str">
        <x:v>연간 확정(가상)</x:v>
      </x:c>
      <x:c r="E99" t="str">
        <x:v>KRW 환산, 만원</x:v>
      </x:c>
      <x:c r="F99" t="str">
        <x:v>가상생성</x:v>
      </x:c>
    </x:row>
    <x:row r="100" ht="21" customHeight="1">
      <x:c r="A100" t="str">
        <x:v>EXA-0025</x:v>
      </x:c>
      <x:c r="B100" t="n">
        <x:v>2025</x:v>
      </x:c>
      <x:c r="C100" s="10" t="n">
        <x:v>102075</x:v>
      </x:c>
      <x:c r="D100" t="str">
        <x:v>연간 확정(가상)</x:v>
      </x:c>
      <x:c r="E100" t="str">
        <x:v>KRW 환산, 만원</x:v>
      </x:c>
      <x:c r="F100" t="str">
        <x:v>가상생성</x:v>
      </x:c>
    </x:row>
    <x:row r="101" ht="21" customHeight="1">
      <x:c r="A101" t="str">
        <x:v>EXA-0025</x:v>
      </x:c>
      <x:c r="B101" t="n">
        <x:v>2026</x:v>
      </x:c>
      <x:c r="C101" s="10" t="n">
        <x:v>48153</x:v>
      </x:c>
      <x:c r="D101" t="str">
        <x:v>1~3분기 누계</x:v>
      </x:c>
      <x:c r="E101" t="str">
        <x:v>KRW 환산, 만원</x:v>
      </x:c>
      <x:c r="F101" t="str">
        <x:v>가상생성</x:v>
      </x:c>
    </x:row>
    <x:row r="102" ht="21" customHeight="1">
      <x:c r="A102" t="str">
        <x:v>EXA-0026</x:v>
      </x:c>
      <x:c r="B102" t="n">
        <x:v>2023</x:v>
      </x:c>
      <x:c r="C102" s="10" t="n">
        <x:v>99968</x:v>
      </x:c>
      <x:c r="D102" t="str">
        <x:v>연간 확정(가상)</x:v>
      </x:c>
      <x:c r="E102" t="str">
        <x:v>KRW 환산, 만원</x:v>
      </x:c>
      <x:c r="F102" t="str">
        <x:v>가상생성</x:v>
      </x:c>
    </x:row>
    <x:row r="103" ht="21" customHeight="1">
      <x:c r="A103" t="str">
        <x:v>EXA-0026</x:v>
      </x:c>
      <x:c r="B103" t="n">
        <x:v>2024</x:v>
      </x:c>
      <x:c r="C103" s="10" t="n">
        <x:v>136280</x:v>
      </x:c>
      <x:c r="D103" t="str">
        <x:v>연간 확정(가상)</x:v>
      </x:c>
      <x:c r="E103" t="str">
        <x:v>KRW 환산, 만원</x:v>
      </x:c>
      <x:c r="F103" t="str">
        <x:v>가상생성</x:v>
      </x:c>
    </x:row>
    <x:row r="104" ht="21" customHeight="1">
      <x:c r="A104" t="str">
        <x:v>EXA-0026</x:v>
      </x:c>
      <x:c r="B104" t="n">
        <x:v>2025</x:v>
      </x:c>
      <x:c r="C104" s="10" t="n">
        <x:v>221495</x:v>
      </x:c>
      <x:c r="D104" t="str">
        <x:v>연간 확정(가상)</x:v>
      </x:c>
      <x:c r="E104" t="str">
        <x:v>KRW 환산, 만원</x:v>
      </x:c>
      <x:c r="F104" t="str">
        <x:v>가상생성</x:v>
      </x:c>
    </x:row>
    <x:row r="105" ht="21" customHeight="1">
      <x:c r="A105" t="str">
        <x:v>EXA-0026</x:v>
      </x:c>
      <x:c r="B105" t="n">
        <x:v>2026</x:v>
      </x:c>
      <x:c r="C105" s="10" t="n">
        <x:v>102180</x:v>
      </x:c>
      <x:c r="D105" t="str">
        <x:v>1~3분기 누계</x:v>
      </x:c>
      <x:c r="E105" t="str">
        <x:v>KRW 환산, 만원</x:v>
      </x:c>
      <x:c r="F105" t="str">
        <x:v>가상생성</x:v>
      </x:c>
    </x:row>
    <x:row r="106" ht="21" customHeight="1">
      <x:c r="A106" t="str">
        <x:v>EXA-0027</x:v>
      </x:c>
      <x:c r="B106" t="n">
        <x:v>2023</x:v>
      </x:c>
      <x:c r="C106" s="10" t="n">
        <x:v>177618</x:v>
      </x:c>
      <x:c r="D106" t="str">
        <x:v>연간 확정(가상)</x:v>
      </x:c>
      <x:c r="E106" t="str">
        <x:v>KRW 환산, 만원</x:v>
      </x:c>
      <x:c r="F106" t="str">
        <x:v>가상생성</x:v>
      </x:c>
    </x:row>
    <x:row r="107" ht="21" customHeight="1">
      <x:c r="A107" t="str">
        <x:v>EXA-0027</x:v>
      </x:c>
      <x:c r="B107" t="n">
        <x:v>2024</x:v>
      </x:c>
      <x:c r="C107" s="10" t="n">
        <x:v>154805</x:v>
      </x:c>
      <x:c r="D107" t="str">
        <x:v>연간 확정(가상)</x:v>
      </x:c>
      <x:c r="E107" t="str">
        <x:v>KRW 환산, 만원</x:v>
      </x:c>
      <x:c r="F107" t="str">
        <x:v>가상생성</x:v>
      </x:c>
    </x:row>
    <x:row r="108" ht="21" customHeight="1">
      <x:c r="A108" t="str">
        <x:v>EXA-0027</x:v>
      </x:c>
      <x:c r="B108" t="n">
        <x:v>2025</x:v>
      </x:c>
      <x:c r="C108" s="10" t="n">
        <x:v>170808</x:v>
      </x:c>
      <x:c r="D108" t="str">
        <x:v>연간 확정(가상)</x:v>
      </x:c>
      <x:c r="E108" t="str">
        <x:v>KRW 환산, 만원</x:v>
      </x:c>
      <x:c r="F108" t="str">
        <x:v>가상생성</x:v>
      </x:c>
    </x:row>
    <x:row r="109" ht="21" customHeight="1">
      <x:c r="A109" t="str">
        <x:v>EXA-0027</x:v>
      </x:c>
      <x:c r="B109" t="n">
        <x:v>2026</x:v>
      </x:c>
      <x:c r="C109" s="10" t="n">
        <x:v>146465</x:v>
      </x:c>
      <x:c r="D109" t="str">
        <x:v>1~3분기 누계</x:v>
      </x:c>
      <x:c r="E109" t="str">
        <x:v>KRW 환산, 만원</x:v>
      </x:c>
      <x:c r="F109" t="str">
        <x:v>가상생성</x:v>
      </x:c>
    </x:row>
    <x:row r="110" ht="21" customHeight="1">
      <x:c r="A110" t="str">
        <x:v>EXA-0028</x:v>
      </x:c>
      <x:c r="B110" t="n">
        <x:v>2023</x:v>
      </x:c>
      <x:c r="C110" s="10" t="n">
        <x:v>53746</x:v>
      </x:c>
      <x:c r="D110" t="str">
        <x:v>연간 확정(가상)</x:v>
      </x:c>
      <x:c r="E110" t="str">
        <x:v>KRW 환산, 만원</x:v>
      </x:c>
      <x:c r="F110" t="str">
        <x:v>가상생성</x:v>
      </x:c>
    </x:row>
    <x:row r="111" ht="21" customHeight="1">
      <x:c r="A111" t="str">
        <x:v>EXA-0028</x:v>
      </x:c>
      <x:c r="B111" t="n">
        <x:v>2024</x:v>
      </x:c>
      <x:c r="C111" s="10" t="n">
        <x:v>52051</x:v>
      </x:c>
      <x:c r="D111" t="str">
        <x:v>연간 확정(가상)</x:v>
      </x:c>
      <x:c r="E111" t="str">
        <x:v>KRW 환산, 만원</x:v>
      </x:c>
      <x:c r="F111" t="str">
        <x:v>가상생성</x:v>
      </x:c>
    </x:row>
    <x:row r="112" ht="21" customHeight="1">
      <x:c r="A112" t="str">
        <x:v>EXA-0028</x:v>
      </x:c>
      <x:c r="B112" t="n">
        <x:v>2025</x:v>
      </x:c>
      <x:c r="C112" s="10" t="n">
        <x:v>83707</x:v>
      </x:c>
      <x:c r="D112" t="str">
        <x:v>연간 확정(가상)</x:v>
      </x:c>
      <x:c r="E112" t="str">
        <x:v>KRW 환산, 만원</x:v>
      </x:c>
      <x:c r="F112" t="str">
        <x:v>가상생성</x:v>
      </x:c>
    </x:row>
    <x:row r="113" ht="21" customHeight="1">
      <x:c r="A113" t="str">
        <x:v>EXA-0028</x:v>
      </x:c>
      <x:c r="B113" t="n">
        <x:v>2026</x:v>
      </x:c>
      <x:c r="C113" s="10" t="n">
        <x:v>43790</x:v>
      </x:c>
      <x:c r="D113" t="str">
        <x:v>1~3분기 누계</x:v>
      </x:c>
      <x:c r="E113" t="str">
        <x:v>KRW 환산, 만원</x:v>
      </x:c>
      <x:c r="F113" t="str">
        <x:v>가상생성</x:v>
      </x:c>
    </x:row>
    <x:row r="114" ht="21" customHeight="1">
      <x:c r="A114" t="str">
        <x:v>EXA-0029</x:v>
      </x:c>
      <x:c r="B114" t="n">
        <x:v>2023</x:v>
      </x:c>
      <x:c r="C114" s="10" t="n">
        <x:v>119197</x:v>
      </x:c>
      <x:c r="D114" t="str">
        <x:v>연간 확정(가상)</x:v>
      </x:c>
      <x:c r="E114" t="str">
        <x:v>KRW 환산, 만원</x:v>
      </x:c>
      <x:c r="F114" t="str">
        <x:v>가상생성</x:v>
      </x:c>
    </x:row>
    <x:row r="115" ht="21" customHeight="1">
      <x:c r="A115" t="str">
        <x:v>EXA-0029</x:v>
      </x:c>
      <x:c r="B115" t="n">
        <x:v>2024</x:v>
      </x:c>
      <x:c r="C115" s="10" t="n">
        <x:v>100054</x:v>
      </x:c>
      <x:c r="D115" t="str">
        <x:v>연간 확정(가상)</x:v>
      </x:c>
      <x:c r="E115" t="str">
        <x:v>KRW 환산, 만원</x:v>
      </x:c>
      <x:c r="F115" t="str">
        <x:v>가상생성</x:v>
      </x:c>
    </x:row>
    <x:row r="116" ht="21" customHeight="1">
      <x:c r="A116" t="str">
        <x:v>EXA-0029</x:v>
      </x:c>
      <x:c r="B116" t="n">
        <x:v>2025</x:v>
      </x:c>
      <x:c r="C116" s="10" t="n">
        <x:v>56664</x:v>
      </x:c>
      <x:c r="D116" t="str">
        <x:v>연간 확정(가상)</x:v>
      </x:c>
      <x:c r="E116" t="str">
        <x:v>KRW 환산, 만원</x:v>
      </x:c>
      <x:c r="F116" t="str">
        <x:v>가상생성</x:v>
      </x:c>
    </x:row>
    <x:row r="117" ht="21" customHeight="1">
      <x:c r="A117" t="str">
        <x:v>EXA-0029</x:v>
      </x:c>
      <x:c r="B117" t="n">
        <x:v>2026</x:v>
      </x:c>
      <x:c r="C117" s="10" t="n">
        <x:v>31753</x:v>
      </x:c>
      <x:c r="D117" t="str">
        <x:v>1~3분기 누계</x:v>
      </x:c>
      <x:c r="E117" t="str">
        <x:v>KRW 환산, 만원</x:v>
      </x:c>
      <x:c r="F117" t="str">
        <x:v>가상생성</x:v>
      </x:c>
    </x:row>
    <x:row r="118" ht="21" customHeight="1">
      <x:c r="A118" t="str">
        <x:v>EXA-0030</x:v>
      </x:c>
      <x:c r="B118" t="n">
        <x:v>2023</x:v>
      </x:c>
      <x:c r="C118" s="10" t="n">
        <x:v>121386</x:v>
      </x:c>
      <x:c r="D118" t="str">
        <x:v>연간 확정(가상)</x:v>
      </x:c>
      <x:c r="E118" t="str">
        <x:v>KRW 환산, 만원</x:v>
      </x:c>
      <x:c r="F118" t="str">
        <x:v>가상생성</x:v>
      </x:c>
    </x:row>
    <x:row r="119" ht="21" customHeight="1">
      <x:c r="A119" t="str">
        <x:v>EXA-0030</x:v>
      </x:c>
      <x:c r="B119" t="n">
        <x:v>2024</x:v>
      </x:c>
      <x:c r="C119" s="10" t="n">
        <x:v>109475</x:v>
      </x:c>
      <x:c r="D119" t="str">
        <x:v>연간 확정(가상)</x:v>
      </x:c>
      <x:c r="E119" t="str">
        <x:v>KRW 환산, 만원</x:v>
      </x:c>
      <x:c r="F119" t="str">
        <x:v>가상생성</x:v>
      </x:c>
    </x:row>
    <x:row r="120" ht="21" customHeight="1">
      <x:c r="A120" t="str">
        <x:v>EXA-0030</x:v>
      </x:c>
      <x:c r="B120" t="n">
        <x:v>2025</x:v>
      </x:c>
      <x:c r="C120" s="10" t="n">
        <x:v>120752</x:v>
      </x:c>
      <x:c r="D120" t="str">
        <x:v>연간 확정(가상)</x:v>
      </x:c>
      <x:c r="E120" t="str">
        <x:v>KRW 환산, 만원</x:v>
      </x:c>
      <x:c r="F120" t="str">
        <x:v>가상생성</x:v>
      </x:c>
    </x:row>
    <x:row r="121" ht="21" customHeight="1">
      <x:c r="A121" t="str">
        <x:v>EXA-0030</x:v>
      </x:c>
      <x:c r="B121" t="n">
        <x:v>2026</x:v>
      </x:c>
      <x:c r="C121" s="10" t="n">
        <x:v>42107</x:v>
      </x:c>
      <x:c r="D121" t="str">
        <x:v>1~3분기 누계</x:v>
      </x:c>
      <x:c r="E121" t="str">
        <x:v>KRW 환산, 만원</x:v>
      </x:c>
      <x:c r="F121" t="str">
        <x:v>가상생성</x:v>
      </x:c>
    </x:row>
    <x:row r="122" ht="21" customHeight="1">
      <x:c r="A122" t="str">
        <x:v>EXA-0031</x:v>
      </x:c>
      <x:c r="B122" t="n">
        <x:v>2023</x:v>
      </x:c>
      <x:c r="C122" s="10" t="n">
        <x:v>182254</x:v>
      </x:c>
      <x:c r="D122" t="str">
        <x:v>연간 확정(가상)</x:v>
      </x:c>
      <x:c r="E122" t="str">
        <x:v>KRW 환산, 만원</x:v>
      </x:c>
      <x:c r="F122" t="str">
        <x:v>가상생성</x:v>
      </x:c>
    </x:row>
    <x:row r="123" ht="21" customHeight="1">
      <x:c r="A123" t="str">
        <x:v>EXA-0031</x:v>
      </x:c>
      <x:c r="B123" t="n">
        <x:v>2024</x:v>
      </x:c>
      <x:c r="C123" s="10" t="n">
        <x:v>220261</x:v>
      </x:c>
      <x:c r="D123" t="str">
        <x:v>연간 확정(가상)</x:v>
      </x:c>
      <x:c r="E123" t="str">
        <x:v>KRW 환산, 만원</x:v>
      </x:c>
      <x:c r="F123" t="str">
        <x:v>가상생성</x:v>
      </x:c>
    </x:row>
    <x:row r="124" ht="21" customHeight="1">
      <x:c r="A124" t="str">
        <x:v>EXA-0031</x:v>
      </x:c>
      <x:c r="B124" t="n">
        <x:v>2025</x:v>
      </x:c>
      <x:c r="C124" s="10" t="n">
        <x:v>362055</x:v>
      </x:c>
      <x:c r="D124" t="str">
        <x:v>연간 확정(가상)</x:v>
      </x:c>
      <x:c r="E124" t="str">
        <x:v>KRW 환산, 만원</x:v>
      </x:c>
      <x:c r="F124" t="str">
        <x:v>가상생성</x:v>
      </x:c>
    </x:row>
    <x:row r="125" ht="21" customHeight="1">
      <x:c r="A125" t="str">
        <x:v>EXA-0031</x:v>
      </x:c>
      <x:c r="B125" t="n">
        <x:v>2026</x:v>
      </x:c>
      <x:c r="C125" s="10" t="n">
        <x:v>231129</x:v>
      </x:c>
      <x:c r="D125" t="str">
        <x:v>1~3분기 누계</x:v>
      </x:c>
      <x:c r="E125" t="str">
        <x:v>KRW 환산, 만원</x:v>
      </x:c>
      <x:c r="F125" t="str">
        <x:v>가상생성</x:v>
      </x:c>
    </x:row>
    <x:row r="126" ht="21" customHeight="1">
      <x:c r="A126" t="str">
        <x:v>EXA-0032</x:v>
      </x:c>
      <x:c r="B126" t="n">
        <x:v>2023</x:v>
      </x:c>
      <x:c r="C126" s="10" t="n">
        <x:v>223076</x:v>
      </x:c>
      <x:c r="D126" t="str">
        <x:v>연간 확정(가상)</x:v>
      </x:c>
      <x:c r="E126" t="str">
        <x:v>KRW 환산, 만원</x:v>
      </x:c>
      <x:c r="F126" t="str">
        <x:v>가상생성</x:v>
      </x:c>
    </x:row>
    <x:row r="127" ht="21" customHeight="1">
      <x:c r="A127" t="str">
        <x:v>EXA-0032</x:v>
      </x:c>
      <x:c r="B127" t="n">
        <x:v>2024</x:v>
      </x:c>
      <x:c r="C127" s="10" t="n">
        <x:v>298699</x:v>
      </x:c>
      <x:c r="D127" t="str">
        <x:v>연간 확정(가상)</x:v>
      </x:c>
      <x:c r="E127" t="str">
        <x:v>KRW 환산, 만원</x:v>
      </x:c>
      <x:c r="F127" t="str">
        <x:v>가상생성</x:v>
      </x:c>
    </x:row>
    <x:row r="128" ht="21" customHeight="1">
      <x:c r="A128" t="str">
        <x:v>EXA-0032</x:v>
      </x:c>
      <x:c r="B128" t="n">
        <x:v>2025</x:v>
      </x:c>
      <x:c r="C128" s="10" t="n">
        <x:v>430177</x:v>
      </x:c>
      <x:c r="D128" t="str">
        <x:v>연간 확정(가상)</x:v>
      </x:c>
      <x:c r="E128" t="str">
        <x:v>KRW 환산, 만원</x:v>
      </x:c>
      <x:c r="F128" t="str">
        <x:v>가상생성</x:v>
      </x:c>
    </x:row>
    <x:row r="129" ht="21" customHeight="1">
      <x:c r="A129" t="str">
        <x:v>EXA-0032</x:v>
      </x:c>
      <x:c r="B129" t="n">
        <x:v>2026</x:v>
      </x:c>
      <x:c r="C129" s="10" t="n">
        <x:v>348750</x:v>
      </x:c>
      <x:c r="D129" t="str">
        <x:v>1~3분기 누계</x:v>
      </x:c>
      <x:c r="E129" t="str">
        <x:v>KRW 환산, 만원</x:v>
      </x:c>
      <x:c r="F129" t="str">
        <x:v>가상생성</x:v>
      </x:c>
    </x:row>
    <x:row r="130" ht="21" customHeight="1">
      <x:c r="A130" t="str">
        <x:v>EXA-0033</x:v>
      </x:c>
      <x:c r="B130" t="n">
        <x:v>2023</x:v>
      </x:c>
      <x:c r="C130" s="10" t="n">
        <x:v>84477</x:v>
      </x:c>
      <x:c r="D130" t="str">
        <x:v>연간 확정(가상)</x:v>
      </x:c>
      <x:c r="E130" t="str">
        <x:v>KRW 환산, 만원</x:v>
      </x:c>
      <x:c r="F130" t="str">
        <x:v>가상생성</x:v>
      </x:c>
    </x:row>
    <x:row r="131" ht="21" customHeight="1">
      <x:c r="A131" t="str">
        <x:v>EXA-0033</x:v>
      </x:c>
      <x:c r="B131" t="n">
        <x:v>2024</x:v>
      </x:c>
      <x:c r="C131" s="10" t="n">
        <x:v>98882</x:v>
      </x:c>
      <x:c r="D131" t="str">
        <x:v>연간 확정(가상)</x:v>
      </x:c>
      <x:c r="E131" t="str">
        <x:v>KRW 환산, 만원</x:v>
      </x:c>
      <x:c r="F131" t="str">
        <x:v>가상생성</x:v>
      </x:c>
    </x:row>
    <x:row r="132" ht="21" customHeight="1">
      <x:c r="A132" t="str">
        <x:v>EXA-0033</x:v>
      </x:c>
      <x:c r="B132" t="n">
        <x:v>2025</x:v>
      </x:c>
      <x:c r="C132" s="10" t="n">
        <x:v>55893</x:v>
      </x:c>
      <x:c r="D132" t="str">
        <x:v>연간 확정(가상)</x:v>
      </x:c>
      <x:c r="E132" t="str">
        <x:v>KRW 환산, 만원</x:v>
      </x:c>
      <x:c r="F132" t="str">
        <x:v>가상생성</x:v>
      </x:c>
    </x:row>
    <x:row r="133" ht="21" customHeight="1">
      <x:c r="A133" t="str">
        <x:v>EXA-0033</x:v>
      </x:c>
      <x:c r="B133" t="n">
        <x:v>2026</x:v>
      </x:c>
      <x:c r="C133" s="10" t="n">
        <x:v>22522</x:v>
      </x:c>
      <x:c r="D133" t="str">
        <x:v>1~3분기 누계</x:v>
      </x:c>
      <x:c r="E133" t="str">
        <x:v>KRW 환산, 만원</x:v>
      </x:c>
      <x:c r="F133" t="str">
        <x:v>가상생성</x:v>
      </x:c>
    </x:row>
    <x:row r="134" ht="21" customHeight="1">
      <x:c r="A134" t="str">
        <x:v>EXA-0034</x:v>
      </x:c>
      <x:c r="B134" t="n">
        <x:v>2023</x:v>
      </x:c>
      <x:c r="C134" s="10" t="n">
        <x:v>172798</x:v>
      </x:c>
      <x:c r="D134" t="str">
        <x:v>연간 확정(가상)</x:v>
      </x:c>
      <x:c r="E134" t="str">
        <x:v>KRW 환산, 만원</x:v>
      </x:c>
      <x:c r="F134" t="str">
        <x:v>가상생성</x:v>
      </x:c>
    </x:row>
    <x:row r="135" ht="21" customHeight="1">
      <x:c r="A135" t="str">
        <x:v>EXA-0034</x:v>
      </x:c>
      <x:c r="B135" t="n">
        <x:v>2024</x:v>
      </x:c>
      <x:c r="C135" s="10" t="n">
        <x:v>239285</x:v>
      </x:c>
      <x:c r="D135" t="str">
        <x:v>연간 확정(가상)</x:v>
      </x:c>
      <x:c r="E135" t="str">
        <x:v>KRW 환산, 만원</x:v>
      </x:c>
      <x:c r="F135" t="str">
        <x:v>가상생성</x:v>
      </x:c>
    </x:row>
    <x:row r="136" ht="21" customHeight="1">
      <x:c r="A136" t="str">
        <x:v>EXA-0034</x:v>
      </x:c>
      <x:c r="B136" t="n">
        <x:v>2025</x:v>
      </x:c>
      <x:c r="C136" s="10" t="n">
        <x:v>242956</x:v>
      </x:c>
      <x:c r="D136" t="str">
        <x:v>연간 확정(가상)</x:v>
      </x:c>
      <x:c r="E136" t="str">
        <x:v>KRW 환산, 만원</x:v>
      </x:c>
      <x:c r="F136" t="str">
        <x:v>가상생성</x:v>
      </x:c>
    </x:row>
    <x:row r="137" ht="21" customHeight="1">
      <x:c r="A137" t="str">
        <x:v>EXA-0034</x:v>
      </x:c>
      <x:c r="B137" t="n">
        <x:v>2026</x:v>
      </x:c>
      <x:c r="C137" s="10" t="n">
        <x:v>130924</x:v>
      </x:c>
      <x:c r="D137" t="str">
        <x:v>1~3분기 누계</x:v>
      </x:c>
      <x:c r="E137" t="str">
        <x:v>KRW 환산, 만원</x:v>
      </x:c>
      <x:c r="F137" t="str">
        <x:v>가상생성</x:v>
      </x:c>
    </x:row>
    <x:row r="138" ht="21" customHeight="1">
      <x:c r="A138" t="str">
        <x:v>EXA-0035</x:v>
      </x:c>
      <x:c r="B138" t="n">
        <x:v>2023</x:v>
      </x:c>
      <x:c r="C138" s="10" t="n">
        <x:v>269203</x:v>
      </x:c>
      <x:c r="D138" t="str">
        <x:v>연간 확정(가상)</x:v>
      </x:c>
      <x:c r="E138" t="str">
        <x:v>KRW 환산, 만원</x:v>
      </x:c>
      <x:c r="F138" t="str">
        <x:v>가상생성</x:v>
      </x:c>
    </x:row>
    <x:row r="139" ht="21" customHeight="1">
      <x:c r="A139" t="str">
        <x:v>EXA-0035</x:v>
      </x:c>
      <x:c r="B139" t="n">
        <x:v>2024</x:v>
      </x:c>
      <x:c r="C139" s="10" t="n">
        <x:v>212931</x:v>
      </x:c>
      <x:c r="D139" t="str">
        <x:v>연간 확정(가상)</x:v>
      </x:c>
      <x:c r="E139" t="str">
        <x:v>KRW 환산, 만원</x:v>
      </x:c>
      <x:c r="F139" t="str">
        <x:v>가상생성</x:v>
      </x:c>
    </x:row>
    <x:row r="140" ht="21" customHeight="1">
      <x:c r="A140" t="str">
        <x:v>EXA-0035</x:v>
      </x:c>
      <x:c r="B140" t="n">
        <x:v>2025</x:v>
      </x:c>
      <x:c r="C140" s="10" t="n">
        <x:v>188569</x:v>
      </x:c>
      <x:c r="D140" t="str">
        <x:v>연간 확정(가상)</x:v>
      </x:c>
      <x:c r="E140" t="str">
        <x:v>KRW 환산, 만원</x:v>
      </x:c>
      <x:c r="F140" t="str">
        <x:v>가상생성</x:v>
      </x:c>
    </x:row>
    <x:row r="141" ht="21" customHeight="1">
      <x:c r="A141" t="str">
        <x:v>EXA-0035</x:v>
      </x:c>
      <x:c r="B141" t="n">
        <x:v>2026</x:v>
      </x:c>
      <x:c r="C141" s="10" t="n">
        <x:v>70342</x:v>
      </x:c>
      <x:c r="D141" t="str">
        <x:v>1~3분기 누계</x:v>
      </x:c>
      <x:c r="E141" t="str">
        <x:v>KRW 환산, 만원</x:v>
      </x:c>
      <x:c r="F141" t="str">
        <x:v>가상생성</x:v>
      </x:c>
    </x:row>
    <x:row r="142" ht="21" customHeight="1">
      <x:c r="A142" t="str">
        <x:v>EXA-0036</x:v>
      </x:c>
      <x:c r="B142" t="n">
        <x:v>2023</x:v>
      </x:c>
      <x:c r="C142" s="10" t="n">
        <x:v>192885</x:v>
      </x:c>
      <x:c r="D142" t="str">
        <x:v>연간 확정(가상)</x:v>
      </x:c>
      <x:c r="E142" t="str">
        <x:v>KRW 환산, 만원</x:v>
      </x:c>
      <x:c r="F142" t="str">
        <x:v>가상생성</x:v>
      </x:c>
    </x:row>
    <x:row r="143" ht="21" customHeight="1">
      <x:c r="A143" t="str">
        <x:v>EXA-0036</x:v>
      </x:c>
      <x:c r="B143" t="n">
        <x:v>2024</x:v>
      </x:c>
      <x:c r="C143" s="10" t="n">
        <x:v>266228</x:v>
      </x:c>
      <x:c r="D143" t="str">
        <x:v>연간 확정(가상)</x:v>
      </x:c>
      <x:c r="E143" t="str">
        <x:v>KRW 환산, 만원</x:v>
      </x:c>
      <x:c r="F143" t="str">
        <x:v>가상생성</x:v>
      </x:c>
    </x:row>
    <x:row r="144" ht="21" customHeight="1">
      <x:c r="A144" t="str">
        <x:v>EXA-0036</x:v>
      </x:c>
      <x:c r="B144" t="n">
        <x:v>2025</x:v>
      </x:c>
      <x:c r="C144" s="10" t="n">
        <x:v>259282</x:v>
      </x:c>
      <x:c r="D144" t="str">
        <x:v>연간 확정(가상)</x:v>
      </x:c>
      <x:c r="E144" t="str">
        <x:v>KRW 환산, 만원</x:v>
      </x:c>
      <x:c r="F144" t="str">
        <x:v>가상생성</x:v>
      </x:c>
    </x:row>
    <x:row r="145" ht="21" customHeight="1">
      <x:c r="A145" t="str">
        <x:v>EXA-0036</x:v>
      </x:c>
      <x:c r="B145" t="n">
        <x:v>2026</x:v>
      </x:c>
      <x:c r="C145" s="10" t="n">
        <x:v>122278</x:v>
      </x:c>
      <x:c r="D145" t="str">
        <x:v>1~3분기 누계</x:v>
      </x:c>
      <x:c r="E145" t="str">
        <x:v>KRW 환산, 만원</x:v>
      </x:c>
      <x:c r="F145" t="str">
        <x:v>가상생성</x:v>
      </x:c>
    </x:row>
    <x:row r="146" ht="21" customHeight="1">
      <x:c r="A146" t="str">
        <x:v>EXA-0037</x:v>
      </x:c>
      <x:c r="B146" t="n">
        <x:v>2023</x:v>
      </x:c>
      <x:c r="C146" s="10" t="n">
        <x:v>82042</x:v>
      </x:c>
      <x:c r="D146" t="str">
        <x:v>연간 확정(가상)</x:v>
      </x:c>
      <x:c r="E146" t="str">
        <x:v>KRW 환산, 만원</x:v>
      </x:c>
      <x:c r="F146" t="str">
        <x:v>가상생성</x:v>
      </x:c>
    </x:row>
    <x:row r="147" ht="21" customHeight="1">
      <x:c r="A147" t="str">
        <x:v>EXA-0037</x:v>
      </x:c>
      <x:c r="B147" t="n">
        <x:v>2024</x:v>
      </x:c>
      <x:c r="C147" s="10" t="n">
        <x:v>107385</x:v>
      </x:c>
      <x:c r="D147" t="str">
        <x:v>연간 확정(가상)</x:v>
      </x:c>
      <x:c r="E147" t="str">
        <x:v>KRW 환산, 만원</x:v>
      </x:c>
      <x:c r="F147" t="str">
        <x:v>가상생성</x:v>
      </x:c>
    </x:row>
    <x:row r="148" ht="21" customHeight="1">
      <x:c r="A148" t="str">
        <x:v>EXA-0037</x:v>
      </x:c>
      <x:c r="B148" t="n">
        <x:v>2025</x:v>
      </x:c>
      <x:c r="C148" s="10" t="n">
        <x:v>87956</x:v>
      </x:c>
      <x:c r="D148" t="str">
        <x:v>연간 확정(가상)</x:v>
      </x:c>
      <x:c r="E148" t="str">
        <x:v>KRW 환산, 만원</x:v>
      </x:c>
      <x:c r="F148" t="str">
        <x:v>가상생성</x:v>
      </x:c>
    </x:row>
    <x:row r="149" ht="21" customHeight="1">
      <x:c r="A149" t="str">
        <x:v>EXA-0037</x:v>
      </x:c>
      <x:c r="B149" t="n">
        <x:v>2026</x:v>
      </x:c>
      <x:c r="C149" s="10" t="n">
        <x:v>31988</x:v>
      </x:c>
      <x:c r="D149" t="str">
        <x:v>1~3분기 누계</x:v>
      </x:c>
      <x:c r="E149" t="str">
        <x:v>KRW 환산, 만원</x:v>
      </x:c>
      <x:c r="F149" t="str">
        <x:v>가상생성</x:v>
      </x:c>
    </x:row>
    <x:row r="150" ht="21" customHeight="1">
      <x:c r="A150" t="str">
        <x:v>EXA-0038</x:v>
      </x:c>
      <x:c r="B150" t="n">
        <x:v>2023</x:v>
      </x:c>
      <x:c r="C150" s="10" t="n">
        <x:v>178297</x:v>
      </x:c>
      <x:c r="D150" t="str">
        <x:v>연간 확정(가상)</x:v>
      </x:c>
      <x:c r="E150" t="str">
        <x:v>KRW 환산, 만원</x:v>
      </x:c>
      <x:c r="F150" t="str">
        <x:v>가상생성</x:v>
      </x:c>
    </x:row>
    <x:row r="151" ht="21" customHeight="1">
      <x:c r="A151" t="str">
        <x:v>EXA-0038</x:v>
      </x:c>
      <x:c r="B151" t="n">
        <x:v>2024</x:v>
      </x:c>
      <x:c r="C151" s="10" t="n">
        <x:v>240834</x:v>
      </x:c>
      <x:c r="D151" t="str">
        <x:v>연간 확정(가상)</x:v>
      </x:c>
      <x:c r="E151" t="str">
        <x:v>KRW 환산, 만원</x:v>
      </x:c>
      <x:c r="F151" t="str">
        <x:v>가상생성</x:v>
      </x:c>
    </x:row>
    <x:row r="152" ht="21" customHeight="1">
      <x:c r="A152" t="str">
        <x:v>EXA-0038</x:v>
      </x:c>
      <x:c r="B152" t="n">
        <x:v>2025</x:v>
      </x:c>
      <x:c r="C152" s="10" t="n">
        <x:v>333251</x:v>
      </x:c>
      <x:c r="D152" t="str">
        <x:v>연간 확정(가상)</x:v>
      </x:c>
      <x:c r="E152" t="str">
        <x:v>KRW 환산, 만원</x:v>
      </x:c>
      <x:c r="F152" t="str">
        <x:v>가상생성</x:v>
      </x:c>
    </x:row>
    <x:row r="153" ht="21" customHeight="1">
      <x:c r="A153" t="str">
        <x:v>EXA-0038</x:v>
      </x:c>
      <x:c r="B153" t="n">
        <x:v>2026</x:v>
      </x:c>
      <x:c r="C153" s="10" t="n">
        <x:v>208013</x:v>
      </x:c>
      <x:c r="D153" t="str">
        <x:v>1~3분기 누계</x:v>
      </x:c>
      <x:c r="E153" t="str">
        <x:v>KRW 환산, 만원</x:v>
      </x:c>
      <x:c r="F153" t="str">
        <x:v>가상생성</x:v>
      </x:c>
    </x:row>
    <x:row r="154" ht="21" customHeight="1">
      <x:c r="A154" t="str">
        <x:v>EXA-0039</x:v>
      </x:c>
      <x:c r="B154" t="n">
        <x:v>2023</x:v>
      </x:c>
      <x:c r="C154" s="10" t="n">
        <x:v>178776</x:v>
      </x:c>
      <x:c r="D154" t="str">
        <x:v>연간 확정(가상)</x:v>
      </x:c>
      <x:c r="E154" t="str">
        <x:v>KRW 환산, 만원</x:v>
      </x:c>
      <x:c r="F154" t="str">
        <x:v>가상생성</x:v>
      </x:c>
    </x:row>
    <x:row r="155" ht="21" customHeight="1">
      <x:c r="A155" t="str">
        <x:v>EXA-0039</x:v>
      </x:c>
      <x:c r="B155" t="n">
        <x:v>2024</x:v>
      </x:c>
      <x:c r="C155" s="10" t="n">
        <x:v>172594</x:v>
      </x:c>
      <x:c r="D155" t="str">
        <x:v>연간 확정(가상)</x:v>
      </x:c>
      <x:c r="E155" t="str">
        <x:v>KRW 환산, 만원</x:v>
      </x:c>
      <x:c r="F155" t="str">
        <x:v>가상생성</x:v>
      </x:c>
    </x:row>
    <x:row r="156" ht="21" customHeight="1">
      <x:c r="A156" t="str">
        <x:v>EXA-0039</x:v>
      </x:c>
      <x:c r="B156" t="n">
        <x:v>2025</x:v>
      </x:c>
      <x:c r="C156" s="10" t="n">
        <x:v>239246</x:v>
      </x:c>
      <x:c r="D156" t="str">
        <x:v>연간 확정(가상)</x:v>
      </x:c>
      <x:c r="E156" t="str">
        <x:v>KRW 환산, 만원</x:v>
      </x:c>
      <x:c r="F156" t="str">
        <x:v>가상생성</x:v>
      </x:c>
    </x:row>
    <x:row r="157" ht="21" customHeight="1">
      <x:c r="A157" t="str">
        <x:v>EXA-0039</x:v>
      </x:c>
      <x:c r="B157" t="n">
        <x:v>2026</x:v>
      </x:c>
      <x:c r="C157" s="10" t="n">
        <x:v>83719</x:v>
      </x:c>
      <x:c r="D157" t="str">
        <x:v>1~3분기 누계</x:v>
      </x:c>
      <x:c r="E157" t="str">
        <x:v>KRW 환산, 만원</x:v>
      </x:c>
      <x:c r="F157" t="str">
        <x:v>가상생성</x:v>
      </x:c>
    </x:row>
    <x:row r="158" ht="21" customHeight="1">
      <x:c r="A158" t="str">
        <x:v>EXA-0040</x:v>
      </x:c>
      <x:c r="B158" t="n">
        <x:v>2023</x:v>
      </x:c>
      <x:c r="C158" s="10" t="n">
        <x:v>78680</x:v>
      </x:c>
      <x:c r="D158" t="str">
        <x:v>연간 확정(가상)</x:v>
      </x:c>
      <x:c r="E158" t="str">
        <x:v>KRW 환산, 만원</x:v>
      </x:c>
      <x:c r="F158" t="str">
        <x:v>가상생성</x:v>
      </x:c>
    </x:row>
    <x:row r="159" ht="21" customHeight="1">
      <x:c r="A159" t="str">
        <x:v>EXA-0040</x:v>
      </x:c>
      <x:c r="B159" t="n">
        <x:v>2024</x:v>
      </x:c>
      <x:c r="C159" s="10" t="n">
        <x:v>86976</x:v>
      </x:c>
      <x:c r="D159" t="str">
        <x:v>연간 확정(가상)</x:v>
      </x:c>
      <x:c r="E159" t="str">
        <x:v>KRW 환산, 만원</x:v>
      </x:c>
      <x:c r="F159" t="str">
        <x:v>가상생성</x:v>
      </x:c>
    </x:row>
    <x:row r="160" ht="21" customHeight="1">
      <x:c r="A160" t="str">
        <x:v>EXA-0040</x:v>
      </x:c>
      <x:c r="B160" t="n">
        <x:v>2025</x:v>
      </x:c>
      <x:c r="C160" s="10" t="n">
        <x:v>49801</x:v>
      </x:c>
      <x:c r="D160" t="str">
        <x:v>연간 확정(가상)</x:v>
      </x:c>
      <x:c r="E160" t="str">
        <x:v>KRW 환산, 만원</x:v>
      </x:c>
      <x:c r="F160" t="str">
        <x:v>가상생성</x:v>
      </x:c>
    </x:row>
    <x:row r="161" ht="21" customHeight="1">
      <x:c r="A161" t="str">
        <x:v>EXA-0040</x:v>
      </x:c>
      <x:c r="B161" t="n">
        <x:v>2026</x:v>
      </x:c>
      <x:c r="C161" s="10" t="n">
        <x:v>17462</x:v>
      </x:c>
      <x:c r="D161" t="str">
        <x:v>1~3분기 누계</x:v>
      </x:c>
      <x:c r="E161" t="str">
        <x:v>KRW 환산, 만원</x:v>
      </x:c>
      <x:c r="F161" t="str">
        <x:v>가상생성</x:v>
      </x:c>
    </x:row>
    <x:row r="162" ht="21" customHeight="1">
      <x:c r="A162" t="str">
        <x:v>EXA-0041</x:v>
      </x:c>
      <x:c r="B162" t="n">
        <x:v>2023</x:v>
      </x:c>
      <x:c r="C162" s="10" t="n">
        <x:v>192596</x:v>
      </x:c>
      <x:c r="D162" t="str">
        <x:v>연간 확정(가상)</x:v>
      </x:c>
      <x:c r="E162" t="str">
        <x:v>KRW 환산, 만원</x:v>
      </x:c>
      <x:c r="F162" t="str">
        <x:v>가상생성</x:v>
      </x:c>
    </x:row>
    <x:row r="163" ht="21" customHeight="1">
      <x:c r="A163" t="str">
        <x:v>EXA-0041</x:v>
      </x:c>
      <x:c r="B163" t="n">
        <x:v>2024</x:v>
      </x:c>
      <x:c r="C163" s="10" t="n">
        <x:v>157175</x:v>
      </x:c>
      <x:c r="D163" t="str">
        <x:v>연간 확정(가상)</x:v>
      </x:c>
      <x:c r="E163" t="str">
        <x:v>KRW 환산, 만원</x:v>
      </x:c>
      <x:c r="F163" t="str">
        <x:v>가상생성</x:v>
      </x:c>
    </x:row>
    <x:row r="164" ht="21" customHeight="1">
      <x:c r="A164" t="str">
        <x:v>EXA-0041</x:v>
      </x:c>
      <x:c r="B164" t="n">
        <x:v>2025</x:v>
      </x:c>
      <x:c r="C164" s="10" t="n">
        <x:v>159145</x:v>
      </x:c>
      <x:c r="D164" t="str">
        <x:v>연간 확정(가상)</x:v>
      </x:c>
      <x:c r="E164" t="str">
        <x:v>KRW 환산, 만원</x:v>
      </x:c>
      <x:c r="F164" t="str">
        <x:v>가상생성</x:v>
      </x:c>
    </x:row>
    <x:row r="165" ht="21" customHeight="1">
      <x:c r="A165" t="str">
        <x:v>EXA-0041</x:v>
      </x:c>
      <x:c r="B165" t="n">
        <x:v>2026</x:v>
      </x:c>
      <x:c r="C165" s="10" t="n">
        <x:v>108796</x:v>
      </x:c>
      <x:c r="D165" t="str">
        <x:v>1~3분기 누계</x:v>
      </x:c>
      <x:c r="E165" t="str">
        <x:v>KRW 환산, 만원</x:v>
      </x:c>
      <x:c r="F165" t="str">
        <x:v>가상생성</x:v>
      </x:c>
    </x:row>
    <x:row r="166" ht="21" customHeight="1">
      <x:c r="A166" t="str">
        <x:v>EXA-0042</x:v>
      </x:c>
      <x:c r="B166" t="n">
        <x:v>2023</x:v>
      </x:c>
      <x:c r="C166" s="10" t="n">
        <x:v>140359</x:v>
      </x:c>
      <x:c r="D166" t="str">
        <x:v>연간 확정(가상)</x:v>
      </x:c>
      <x:c r="E166" t="str">
        <x:v>KRW 환산, 만원</x:v>
      </x:c>
      <x:c r="F166" t="str">
        <x:v>가상생성</x:v>
      </x:c>
    </x:row>
    <x:row r="167" ht="21" customHeight="1">
      <x:c r="A167" t="str">
        <x:v>EXA-0042</x:v>
      </x:c>
      <x:c r="B167" t="n">
        <x:v>2024</x:v>
      </x:c>
      <x:c r="C167" s="10" t="n">
        <x:v>168201</x:v>
      </x:c>
      <x:c r="D167" t="str">
        <x:v>연간 확정(가상)</x:v>
      </x:c>
      <x:c r="E167" t="str">
        <x:v>KRW 환산, 만원</x:v>
      </x:c>
      <x:c r="F167" t="str">
        <x:v>가상생성</x:v>
      </x:c>
    </x:row>
    <x:row r="168" ht="21" customHeight="1">
      <x:c r="A168" t="str">
        <x:v>EXA-0042</x:v>
      </x:c>
      <x:c r="B168" t="n">
        <x:v>2025</x:v>
      </x:c>
      <x:c r="C168" s="10" t="n">
        <x:v>98932</x:v>
      </x:c>
      <x:c r="D168" t="str">
        <x:v>연간 확정(가상)</x:v>
      </x:c>
      <x:c r="E168" t="str">
        <x:v>KRW 환산, 만원</x:v>
      </x:c>
      <x:c r="F168" t="str">
        <x:v>가상생성</x:v>
      </x:c>
    </x:row>
    <x:row r="169" ht="21" customHeight="1">
      <x:c r="A169" t="str">
        <x:v>EXA-0042</x:v>
      </x:c>
      <x:c r="B169" t="n">
        <x:v>2026</x:v>
      </x:c>
      <x:c r="C169" s="10" t="n">
        <x:v>58400</x:v>
      </x:c>
      <x:c r="D169" t="str">
        <x:v>1~3분기 누계</x:v>
      </x:c>
      <x:c r="E169" t="str">
        <x:v>KRW 환산, 만원</x:v>
      </x:c>
      <x:c r="F169" t="str">
        <x:v>가상생성</x:v>
      </x:c>
    </x:row>
    <x:row r="170" ht="21" customHeight="1">
      <x:c r="A170" t="str">
        <x:v>EXA-0043</x:v>
      </x:c>
      <x:c r="B170" t="n">
        <x:v>2023</x:v>
      </x:c>
      <x:c r="C170" s="10" t="n">
        <x:v>72653</x:v>
      </x:c>
      <x:c r="D170" t="str">
        <x:v>연간 확정(가상)</x:v>
      </x:c>
      <x:c r="E170" t="str">
        <x:v>KRW 환산, 만원</x:v>
      </x:c>
      <x:c r="F170" t="str">
        <x:v>가상생성</x:v>
      </x:c>
    </x:row>
    <x:row r="171" ht="21" customHeight="1">
      <x:c r="A171" t="str">
        <x:v>EXA-0043</x:v>
      </x:c>
      <x:c r="B171" t="n">
        <x:v>2024</x:v>
      </x:c>
      <x:c r="C171" s="10" t="n">
        <x:v>70010</x:v>
      </x:c>
      <x:c r="D171" t="str">
        <x:v>연간 확정(가상)</x:v>
      </x:c>
      <x:c r="E171" t="str">
        <x:v>KRW 환산, 만원</x:v>
      </x:c>
      <x:c r="F171" t="str">
        <x:v>가상생성</x:v>
      </x:c>
    </x:row>
    <x:row r="172" ht="21" customHeight="1">
      <x:c r="A172" t="str">
        <x:v>EXA-0043</x:v>
      </x:c>
      <x:c r="B172" t="n">
        <x:v>2025</x:v>
      </x:c>
      <x:c r="C172" s="10" t="n">
        <x:v>83065</x:v>
      </x:c>
      <x:c r="D172" t="str">
        <x:v>연간 확정(가상)</x:v>
      </x:c>
      <x:c r="E172" t="str">
        <x:v>KRW 환산, 만원</x:v>
      </x:c>
      <x:c r="F172" t="str">
        <x:v>가상생성</x:v>
      </x:c>
    </x:row>
    <x:row r="173" ht="21" customHeight="1">
      <x:c r="A173" t="str">
        <x:v>EXA-0043</x:v>
      </x:c>
      <x:c r="B173" t="n">
        <x:v>2026</x:v>
      </x:c>
      <x:c r="C173" s="10" t="n">
        <x:v>50275</x:v>
      </x:c>
      <x:c r="D173" t="str">
        <x:v>1~3분기 누계</x:v>
      </x:c>
      <x:c r="E173" t="str">
        <x:v>KRW 환산, 만원</x:v>
      </x:c>
      <x:c r="F173" t="str">
        <x:v>가상생성</x:v>
      </x:c>
    </x:row>
    <x:row r="174" ht="21" customHeight="1">
      <x:c r="A174" t="str">
        <x:v>EXA-0044</x:v>
      </x:c>
      <x:c r="B174" t="n">
        <x:v>2023</x:v>
      </x:c>
      <x:c r="C174" s="10" t="n">
        <x:v>301089</x:v>
      </x:c>
      <x:c r="D174" t="str">
        <x:v>연간 확정(가상)</x:v>
      </x:c>
      <x:c r="E174" t="str">
        <x:v>KRW 환산, 만원</x:v>
      </x:c>
      <x:c r="F174" t="str">
        <x:v>가상생성</x:v>
      </x:c>
    </x:row>
    <x:row r="175" ht="21" customHeight="1">
      <x:c r="A175" t="str">
        <x:v>EXA-0044</x:v>
      </x:c>
      <x:c r="B175" t="n">
        <x:v>2024</x:v>
      </x:c>
      <x:c r="C175" s="10" t="n">
        <x:v>355759</x:v>
      </x:c>
      <x:c r="D175" t="str">
        <x:v>연간 확정(가상)</x:v>
      </x:c>
      <x:c r="E175" t="str">
        <x:v>KRW 환산, 만원</x:v>
      </x:c>
      <x:c r="F175" t="str">
        <x:v>가상생성</x:v>
      </x:c>
    </x:row>
    <x:row r="176" ht="21" customHeight="1">
      <x:c r="A176" t="str">
        <x:v>EXA-0044</x:v>
      </x:c>
      <x:c r="B176" t="n">
        <x:v>2025</x:v>
      </x:c>
      <x:c r="C176" s="10" t="n">
        <x:v>459170</x:v>
      </x:c>
      <x:c r="D176" t="str">
        <x:v>연간 확정(가상)</x:v>
      </x:c>
      <x:c r="E176" t="str">
        <x:v>KRW 환산, 만원</x:v>
      </x:c>
      <x:c r="F176" t="str">
        <x:v>가상생성</x:v>
      </x:c>
    </x:row>
    <x:row r="177" ht="21" customHeight="1">
      <x:c r="A177" t="str">
        <x:v>EXA-0044</x:v>
      </x:c>
      <x:c r="B177" t="n">
        <x:v>2026</x:v>
      </x:c>
      <x:c r="C177" s="10" t="n">
        <x:v>243979</x:v>
      </x:c>
      <x:c r="D177" t="str">
        <x:v>1~3분기 누계</x:v>
      </x:c>
      <x:c r="E177" t="str">
        <x:v>KRW 환산, 만원</x:v>
      </x:c>
      <x:c r="F177" t="str">
        <x:v>가상생성</x:v>
      </x:c>
    </x:row>
    <x:row r="178" ht="21" customHeight="1">
      <x:c r="A178" t="str">
        <x:v>EXA-0045</x:v>
      </x:c>
      <x:c r="B178" t="n">
        <x:v>2023</x:v>
      </x:c>
      <x:c r="C178" s="10" t="n">
        <x:v>69581</x:v>
      </x:c>
      <x:c r="D178" t="str">
        <x:v>연간 확정(가상)</x:v>
      </x:c>
      <x:c r="E178" t="str">
        <x:v>KRW 환산, 만원</x:v>
      </x:c>
      <x:c r="F178" t="str">
        <x:v>가상생성</x:v>
      </x:c>
    </x:row>
    <x:row r="179" ht="21" customHeight="1">
      <x:c r="A179" t="str">
        <x:v>EXA-0045</x:v>
      </x:c>
      <x:c r="B179" t="n">
        <x:v>2024</x:v>
      </x:c>
      <x:c r="C179" s="10" t="n">
        <x:v>92974</x:v>
      </x:c>
      <x:c r="D179" t="str">
        <x:v>연간 확정(가상)</x:v>
      </x:c>
      <x:c r="E179" t="str">
        <x:v>KRW 환산, 만원</x:v>
      </x:c>
      <x:c r="F179" t="str">
        <x:v>가상생성</x:v>
      </x:c>
    </x:row>
    <x:row r="180" ht="21" customHeight="1">
      <x:c r="A180" t="str">
        <x:v>EXA-0045</x:v>
      </x:c>
      <x:c r="B180" t="n">
        <x:v>2025</x:v>
      </x:c>
      <x:c r="C180" s="10" t="n">
        <x:v>90159</x:v>
      </x:c>
      <x:c r="D180" t="str">
        <x:v>연간 확정(가상)</x:v>
      </x:c>
      <x:c r="E180" t="str">
        <x:v>KRW 환산, 만원</x:v>
      </x:c>
      <x:c r="F180" t="str">
        <x:v>가상생성</x:v>
      </x:c>
    </x:row>
    <x:row r="181" ht="21" customHeight="1">
      <x:c r="A181" t="str">
        <x:v>EXA-0045</x:v>
      </x:c>
      <x:c r="B181" t="n">
        <x:v>2026</x:v>
      </x:c>
      <x:c r="C181" s="10" t="n">
        <x:v>44496</x:v>
      </x:c>
      <x:c r="D181" t="str">
        <x:v>1~3분기 누계</x:v>
      </x:c>
      <x:c r="E181" t="str">
        <x:v>KRW 환산, 만원</x:v>
      </x:c>
      <x:c r="F181" t="str">
        <x:v>가상생성</x:v>
      </x:c>
    </x:row>
    <x:row r="182" ht="21" customHeight="1">
      <x:c r="A182" t="str">
        <x:v>EXA-0046</x:v>
      </x:c>
      <x:c r="B182" t="n">
        <x:v>2023</x:v>
      </x:c>
      <x:c r="C182" s="10" t="n">
        <x:v>169262</x:v>
      </x:c>
      <x:c r="D182" t="str">
        <x:v>연간 확정(가상)</x:v>
      </x:c>
      <x:c r="E182" t="str">
        <x:v>KRW 환산, 만원</x:v>
      </x:c>
      <x:c r="F182" t="str">
        <x:v>가상생성</x:v>
      </x:c>
    </x:row>
    <x:row r="183" ht="21" customHeight="1">
      <x:c r="A183" t="str">
        <x:v>EXA-0046</x:v>
      </x:c>
      <x:c r="B183" t="n">
        <x:v>2024</x:v>
      </x:c>
      <x:c r="C183" s="10" t="n">
        <x:v>194276</x:v>
      </x:c>
      <x:c r="D183" t="str">
        <x:v>연간 확정(가상)</x:v>
      </x:c>
      <x:c r="E183" t="str">
        <x:v>KRW 환산, 만원</x:v>
      </x:c>
      <x:c r="F183" t="str">
        <x:v>가상생성</x:v>
      </x:c>
    </x:row>
    <x:row r="184" ht="21" customHeight="1">
      <x:c r="A184" t="str">
        <x:v>EXA-0046</x:v>
      </x:c>
      <x:c r="B184" t="n">
        <x:v>2025</x:v>
      </x:c>
      <x:c r="C184" s="10" t="n">
        <x:v>300915</x:v>
      </x:c>
      <x:c r="D184" t="str">
        <x:v>연간 확정(가상)</x:v>
      </x:c>
      <x:c r="E184" t="str">
        <x:v>KRW 환산, 만원</x:v>
      </x:c>
      <x:c r="F184" t="str">
        <x:v>가상생성</x:v>
      </x:c>
    </x:row>
    <x:row r="185" ht="21" customHeight="1">
      <x:c r="A185" t="str">
        <x:v>EXA-0046</x:v>
      </x:c>
      <x:c r="B185" t="n">
        <x:v>2026</x:v>
      </x:c>
      <x:c r="C185" s="10" t="n">
        <x:v>221130</x:v>
      </x:c>
      <x:c r="D185" t="str">
        <x:v>1~3분기 누계</x:v>
      </x:c>
      <x:c r="E185" t="str">
        <x:v>KRW 환산, 만원</x:v>
      </x:c>
      <x:c r="F185" t="str">
        <x:v>가상생성</x:v>
      </x:c>
    </x:row>
    <x:row r="186" ht="21" customHeight="1">
      <x:c r="A186" t="str">
        <x:v>EXA-0047</x:v>
      </x:c>
      <x:c r="B186" t="n">
        <x:v>2023</x:v>
      </x:c>
      <x:c r="C186" s="10" t="n">
        <x:v>148857</x:v>
      </x:c>
      <x:c r="D186" t="str">
        <x:v>연간 확정(가상)</x:v>
      </x:c>
      <x:c r="E186" t="str">
        <x:v>KRW 환산, 만원</x:v>
      </x:c>
      <x:c r="F186" t="str">
        <x:v>가상생성</x:v>
      </x:c>
    </x:row>
    <x:row r="187" ht="21" customHeight="1">
      <x:c r="A187" t="str">
        <x:v>EXA-0047</x:v>
      </x:c>
      <x:c r="B187" t="n">
        <x:v>2024</x:v>
      </x:c>
      <x:c r="C187" s="10" t="n">
        <x:v>111182</x:v>
      </x:c>
      <x:c r="D187" t="str">
        <x:v>연간 확정(가상)</x:v>
      </x:c>
      <x:c r="E187" t="str">
        <x:v>KRW 환산, 만원</x:v>
      </x:c>
      <x:c r="F187" t="str">
        <x:v>가상생성</x:v>
      </x:c>
    </x:row>
    <x:row r="188" ht="21" customHeight="1">
      <x:c r="A188" t="str">
        <x:v>EXA-0047</x:v>
      </x:c>
      <x:c r="B188" t="n">
        <x:v>2025</x:v>
      </x:c>
      <x:c r="C188" s="10" t="n">
        <x:v>64540</x:v>
      </x:c>
      <x:c r="D188" t="str">
        <x:v>연간 확정(가상)</x:v>
      </x:c>
      <x:c r="E188" t="str">
        <x:v>KRW 환산, 만원</x:v>
      </x:c>
      <x:c r="F188" t="str">
        <x:v>가상생성</x:v>
      </x:c>
    </x:row>
    <x:row r="189" ht="21" customHeight="1">
      <x:c r="A189" t="str">
        <x:v>EXA-0047</x:v>
      </x:c>
      <x:c r="B189" t="n">
        <x:v>2026</x:v>
      </x:c>
      <x:c r="C189" s="10" t="n">
        <x:v>28677</x:v>
      </x:c>
      <x:c r="D189" t="str">
        <x:v>1~3분기 누계</x:v>
      </x:c>
      <x:c r="E189" t="str">
        <x:v>KRW 환산, 만원</x:v>
      </x:c>
      <x:c r="F189" t="str">
        <x:v>가상생성</x:v>
      </x:c>
    </x:row>
    <x:row r="190" ht="21" customHeight="1">
      <x:c r="A190" t="str">
        <x:v>EXA-0048</x:v>
      </x:c>
      <x:c r="B190" t="n">
        <x:v>2023</x:v>
      </x:c>
      <x:c r="C190" s="10" t="n">
        <x:v>233325</x:v>
      </x:c>
      <x:c r="D190" t="str">
        <x:v>연간 확정(가상)</x:v>
      </x:c>
      <x:c r="E190" t="str">
        <x:v>KRW 환산, 만원</x:v>
      </x:c>
      <x:c r="F190" t="str">
        <x:v>가상생성</x:v>
      </x:c>
    </x:row>
    <x:row r="191" ht="21" customHeight="1">
      <x:c r="A191" t="str">
        <x:v>EXA-0048</x:v>
      </x:c>
      <x:c r="B191" t="n">
        <x:v>2024</x:v>
      </x:c>
      <x:c r="C191" s="10" t="n">
        <x:v>179405</x:v>
      </x:c>
      <x:c r="D191" t="str">
        <x:v>연간 확정(가상)</x:v>
      </x:c>
      <x:c r="E191" t="str">
        <x:v>KRW 환산, 만원</x:v>
      </x:c>
      <x:c r="F191" t="str">
        <x:v>가상생성</x:v>
      </x:c>
    </x:row>
    <x:row r="192" ht="21" customHeight="1">
      <x:c r="A192" t="str">
        <x:v>EXA-0048</x:v>
      </x:c>
      <x:c r="B192" t="n">
        <x:v>2025</x:v>
      </x:c>
      <x:c r="C192" s="10" t="n">
        <x:v>215189</x:v>
      </x:c>
      <x:c r="D192" t="str">
        <x:v>연간 확정(가상)</x:v>
      </x:c>
      <x:c r="E192" t="str">
        <x:v>KRW 환산, 만원</x:v>
      </x:c>
      <x:c r="F192" t="str">
        <x:v>가상생성</x:v>
      </x:c>
    </x:row>
    <x:row r="193" ht="21" customHeight="1">
      <x:c r="A193" t="str">
        <x:v>EXA-0048</x:v>
      </x:c>
      <x:c r="B193" t="n">
        <x:v>2026</x:v>
      </x:c>
      <x:c r="C193" s="10" t="n">
        <x:v>125610</x:v>
      </x:c>
      <x:c r="D193" t="str">
        <x:v>1~3분기 누계</x:v>
      </x:c>
      <x:c r="E193" t="str">
        <x:v>KRW 환산, 만원</x:v>
      </x:c>
      <x:c r="F193" t="str">
        <x:v>가상생성</x:v>
      </x:c>
    </x:row>
    <x:row r="194" ht="21" customHeight="1">
      <x:c r="A194" t="str">
        <x:v>EXA-0049</x:v>
      </x:c>
      <x:c r="B194" t="n">
        <x:v>2023</x:v>
      </x:c>
      <x:c r="C194" s="10" t="n">
        <x:v>206576</x:v>
      </x:c>
      <x:c r="D194" t="str">
        <x:v>연간 확정(가상)</x:v>
      </x:c>
      <x:c r="E194" t="str">
        <x:v>KRW 환산, 만원</x:v>
      </x:c>
      <x:c r="F194" t="str">
        <x:v>가상생성</x:v>
      </x:c>
    </x:row>
    <x:row r="195" ht="21" customHeight="1">
      <x:c r="A195" t="str">
        <x:v>EXA-0049</x:v>
      </x:c>
      <x:c r="B195" t="n">
        <x:v>2024</x:v>
      </x:c>
      <x:c r="C195" s="10" t="n">
        <x:v>184518</x:v>
      </x:c>
      <x:c r="D195" t="str">
        <x:v>연간 확정(가상)</x:v>
      </x:c>
      <x:c r="E195" t="str">
        <x:v>KRW 환산, 만원</x:v>
      </x:c>
      <x:c r="F195" t="str">
        <x:v>가상생성</x:v>
      </x:c>
    </x:row>
    <x:row r="196" ht="21" customHeight="1">
      <x:c r="A196" t="str">
        <x:v>EXA-0049</x:v>
      </x:c>
      <x:c r="B196" t="n">
        <x:v>2025</x:v>
      </x:c>
      <x:c r="C196" s="10" t="n">
        <x:v>122977</x:v>
      </x:c>
      <x:c r="D196" t="str">
        <x:v>연간 확정(가상)</x:v>
      </x:c>
      <x:c r="E196" t="str">
        <x:v>KRW 환산, 만원</x:v>
      </x:c>
      <x:c r="F196" t="str">
        <x:v>가상생성</x:v>
      </x:c>
    </x:row>
    <x:row r="197" ht="21" customHeight="1">
      <x:c r="A197" t="str">
        <x:v>EXA-0049</x:v>
      </x:c>
      <x:c r="B197" t="n">
        <x:v>2026</x:v>
      </x:c>
      <x:c r="C197" s="10" t="n">
        <x:v>47399</x:v>
      </x:c>
      <x:c r="D197" t="str">
        <x:v>1~3분기 누계</x:v>
      </x:c>
      <x:c r="E197" t="str">
        <x:v>KRW 환산, 만원</x:v>
      </x:c>
      <x:c r="F197" t="str">
        <x:v>가상생성</x:v>
      </x:c>
    </x:row>
    <x:row r="198" ht="21" customHeight="1">
      <x:c r="A198" t="str">
        <x:v>EXA-0050</x:v>
      </x:c>
      <x:c r="B198" t="n">
        <x:v>2023</x:v>
      </x:c>
      <x:c r="C198" s="10" t="n">
        <x:v>242740</x:v>
      </x:c>
      <x:c r="D198" t="str">
        <x:v>연간 확정(가상)</x:v>
      </x:c>
      <x:c r="E198" t="str">
        <x:v>KRW 환산, 만원</x:v>
      </x:c>
      <x:c r="F198" t="str">
        <x:v>가상생성</x:v>
      </x:c>
    </x:row>
    <x:row r="199" ht="21" customHeight="1">
      <x:c r="A199" t="str">
        <x:v>EXA-0050</x:v>
      </x:c>
      <x:c r="B199" t="n">
        <x:v>2024</x:v>
      </x:c>
      <x:c r="C199" s="10" t="n">
        <x:v>330362</x:v>
      </x:c>
      <x:c r="D199" t="str">
        <x:v>연간 확정(가상)</x:v>
      </x:c>
      <x:c r="E199" t="str">
        <x:v>KRW 환산, 만원</x:v>
      </x:c>
      <x:c r="F199" t="str">
        <x:v>가상생성</x:v>
      </x:c>
    </x:row>
    <x:row r="200" ht="21" customHeight="1">
      <x:c r="A200" t="str">
        <x:v>EXA-0050</x:v>
      </x:c>
      <x:c r="B200" t="n">
        <x:v>2025</x:v>
      </x:c>
      <x:c r="C200" s="10" t="n">
        <x:v>430146</x:v>
      </x:c>
      <x:c r="D200" t="str">
        <x:v>연간 확정(가상)</x:v>
      </x:c>
      <x:c r="E200" t="str">
        <x:v>KRW 환산, 만원</x:v>
      </x:c>
      <x:c r="F200" t="str">
        <x:v>가상생성</x:v>
      </x:c>
    </x:row>
    <x:row r="201" ht="21" customHeight="1">
      <x:c r="A201" t="str">
        <x:v>EXA-0050</x:v>
      </x:c>
      <x:c r="B201" t="n">
        <x:v>2026</x:v>
      </x:c>
      <x:c r="C201" s="10" t="n">
        <x:v>369114</x:v>
      </x:c>
      <x:c r="D201" t="str">
        <x:v>1~3분기 누계</x:v>
      </x:c>
      <x:c r="E201" t="str">
        <x:v>KRW 환산, 만원</x:v>
      </x:c>
      <x:c r="F201" t="str">
        <x:v>가상생성</x:v>
      </x:c>
    </x:row>
    <x:row r="202" ht="21" customHeight="1">
      <x:c r="A202" t="str">
        <x:v>EXA-0051</x:v>
      </x:c>
      <x:c r="B202" t="n">
        <x:v>2023</x:v>
      </x:c>
      <x:c r="C202" s="10" t="n">
        <x:v>34532</x:v>
      </x:c>
      <x:c r="D202" t="str">
        <x:v>연간 확정(가상)</x:v>
      </x:c>
      <x:c r="E202" t="str">
        <x:v>KRW 환산, 만원</x:v>
      </x:c>
      <x:c r="F202" t="str">
        <x:v>가상생성</x:v>
      </x:c>
    </x:row>
    <x:row r="203" ht="21" customHeight="1">
      <x:c r="A203" t="str">
        <x:v>EXA-0051</x:v>
      </x:c>
      <x:c r="B203" t="n">
        <x:v>2024</x:v>
      </x:c>
      <x:c r="C203" s="10" t="n">
        <x:v>46258</x:v>
      </x:c>
      <x:c r="D203" t="str">
        <x:v>연간 확정(가상)</x:v>
      </x:c>
      <x:c r="E203" t="str">
        <x:v>KRW 환산, 만원</x:v>
      </x:c>
      <x:c r="F203" t="str">
        <x:v>가상생성</x:v>
      </x:c>
    </x:row>
    <x:row r="204" ht="21" customHeight="1">
      <x:c r="A204" t="str">
        <x:v>EXA-0051</x:v>
      </x:c>
      <x:c r="B204" t="n">
        <x:v>2025</x:v>
      </x:c>
      <x:c r="C204" s="10" t="n">
        <x:v>55495</x:v>
      </x:c>
      <x:c r="D204" t="str">
        <x:v>연간 확정(가상)</x:v>
      </x:c>
      <x:c r="E204" t="str">
        <x:v>KRW 환산, 만원</x:v>
      </x:c>
      <x:c r="F204" t="str">
        <x:v>가상생성</x:v>
      </x:c>
    </x:row>
    <x:row r="205" ht="21" customHeight="1">
      <x:c r="A205" t="str">
        <x:v>EXA-0051</x:v>
      </x:c>
      <x:c r="B205" t="n">
        <x:v>2026</x:v>
      </x:c>
      <x:c r="C205" s="10" t="n">
        <x:v>43649</x:v>
      </x:c>
      <x:c r="D205" t="str">
        <x:v>1~3분기 누계</x:v>
      </x:c>
      <x:c r="E205" t="str">
        <x:v>KRW 환산, 만원</x:v>
      </x:c>
      <x:c r="F205" t="str">
        <x:v>가상생성</x:v>
      </x:c>
    </x:row>
    <x:row r="206" ht="21" customHeight="1">
      <x:c r="A206" t="str">
        <x:v>EXA-0052</x:v>
      </x:c>
      <x:c r="B206" t="n">
        <x:v>2023</x:v>
      </x:c>
      <x:c r="C206" s="10" t="n">
        <x:v>278080</x:v>
      </x:c>
      <x:c r="D206" t="str">
        <x:v>연간 확정(가상)</x:v>
      </x:c>
      <x:c r="E206" t="str">
        <x:v>KRW 환산, 만원</x:v>
      </x:c>
      <x:c r="F206" t="str">
        <x:v>가상생성</x:v>
      </x:c>
    </x:row>
    <x:row r="207" ht="21" customHeight="1">
      <x:c r="A207" t="str">
        <x:v>EXA-0052</x:v>
      </x:c>
      <x:c r="B207" t="n">
        <x:v>2024</x:v>
      </x:c>
      <x:c r="C207" s="10" t="n">
        <x:v>330764</x:v>
      </x:c>
      <x:c r="D207" t="str">
        <x:v>연간 확정(가상)</x:v>
      </x:c>
      <x:c r="E207" t="str">
        <x:v>KRW 환산, 만원</x:v>
      </x:c>
      <x:c r="F207" t="str">
        <x:v>가상생성</x:v>
      </x:c>
    </x:row>
    <x:row r="208" ht="21" customHeight="1">
      <x:c r="A208" t="str">
        <x:v>EXA-0052</x:v>
      </x:c>
      <x:c r="B208" t="n">
        <x:v>2025</x:v>
      </x:c>
      <x:c r="C208" s="10" t="n">
        <x:v>490330</x:v>
      </x:c>
      <x:c r="D208" t="str">
        <x:v>연간 확정(가상)</x:v>
      </x:c>
      <x:c r="E208" t="str">
        <x:v>KRW 환산, 만원</x:v>
      </x:c>
      <x:c r="F208" t="str">
        <x:v>가상생성</x:v>
      </x:c>
    </x:row>
    <x:row r="209" ht="21" customHeight="1">
      <x:c r="A209" t="str">
        <x:v>EXA-0052</x:v>
      </x:c>
      <x:c r="B209" t="n">
        <x:v>2026</x:v>
      </x:c>
      <x:c r="C209" s="10" t="n">
        <x:v>204812</x:v>
      </x:c>
      <x:c r="D209" t="str">
        <x:v>1~3분기 누계</x:v>
      </x:c>
      <x:c r="E209" t="str">
        <x:v>KRW 환산, 만원</x:v>
      </x:c>
      <x:c r="F209" t="str">
        <x:v>가상생성</x:v>
      </x:c>
    </x:row>
    <x:row r="210" ht="21" customHeight="1">
      <x:c r="A210" t="str">
        <x:v>EXA-0053</x:v>
      </x:c>
      <x:c r="B210" t="n">
        <x:v>2023</x:v>
      </x:c>
      <x:c r="C210" s="10" t="n">
        <x:v>73493</x:v>
      </x:c>
      <x:c r="D210" t="str">
        <x:v>연간 확정(가상)</x:v>
      </x:c>
      <x:c r="E210" t="str">
        <x:v>KRW 환산, 만원</x:v>
      </x:c>
      <x:c r="F210" t="str">
        <x:v>가상생성</x:v>
      </x:c>
    </x:row>
    <x:row r="211" ht="21" customHeight="1">
      <x:c r="A211" t="str">
        <x:v>EXA-0053</x:v>
      </x:c>
      <x:c r="B211" t="n">
        <x:v>2024</x:v>
      </x:c>
      <x:c r="C211" s="10" t="n">
        <x:v>68385</x:v>
      </x:c>
      <x:c r="D211" t="str">
        <x:v>연간 확정(가상)</x:v>
      </x:c>
      <x:c r="E211" t="str">
        <x:v>KRW 환산, 만원</x:v>
      </x:c>
      <x:c r="F211" t="str">
        <x:v>가상생성</x:v>
      </x:c>
    </x:row>
    <x:row r="212" ht="21" customHeight="1">
      <x:c r="A212" t="str">
        <x:v>EXA-0053</x:v>
      </x:c>
      <x:c r="B212" t="n">
        <x:v>2025</x:v>
      </x:c>
      <x:c r="C212" s="10" t="n">
        <x:v>88343</x:v>
      </x:c>
      <x:c r="D212" t="str">
        <x:v>연간 확정(가상)</x:v>
      </x:c>
      <x:c r="E212" t="str">
        <x:v>KRW 환산, 만원</x:v>
      </x:c>
      <x:c r="F212" t="str">
        <x:v>가상생성</x:v>
      </x:c>
    </x:row>
    <x:row r="213" ht="21" customHeight="1">
      <x:c r="A213" t="str">
        <x:v>EXA-0053</x:v>
      </x:c>
      <x:c r="B213" t="n">
        <x:v>2026</x:v>
      </x:c>
      <x:c r="C213" s="10" t="n">
        <x:v>66857</x:v>
      </x:c>
      <x:c r="D213" t="str">
        <x:v>1~3분기 누계</x:v>
      </x:c>
      <x:c r="E213" t="str">
        <x:v>KRW 환산, 만원</x:v>
      </x:c>
      <x:c r="F213" t="str">
        <x:v>가상생성</x:v>
      </x:c>
    </x:row>
    <x:row r="214" ht="21" customHeight="1">
      <x:c r="A214" t="str">
        <x:v>EXA-0054</x:v>
      </x:c>
      <x:c r="B214" t="n">
        <x:v>2023</x:v>
      </x:c>
      <x:c r="C214" s="10" t="n">
        <x:v>288429</x:v>
      </x:c>
      <x:c r="D214" t="str">
        <x:v>연간 확정(가상)</x:v>
      </x:c>
      <x:c r="E214" t="str">
        <x:v>KRW 환산, 만원</x:v>
      </x:c>
      <x:c r="F214" t="str">
        <x:v>가상생성</x:v>
      </x:c>
    </x:row>
    <x:row r="215" ht="21" customHeight="1">
      <x:c r="A215" t="str">
        <x:v>EXA-0054</x:v>
      </x:c>
      <x:c r="B215" t="n">
        <x:v>2024</x:v>
      </x:c>
      <x:c r="C215" s="10" t="n">
        <x:v>239791</x:v>
      </x:c>
      <x:c r="D215" t="str">
        <x:v>연간 확정(가상)</x:v>
      </x:c>
      <x:c r="E215" t="str">
        <x:v>KRW 환산, 만원</x:v>
      </x:c>
      <x:c r="F215" t="str">
        <x:v>가상생성</x:v>
      </x:c>
    </x:row>
    <x:row r="216" ht="21" customHeight="1">
      <x:c r="A216" t="str">
        <x:v>EXA-0054</x:v>
      </x:c>
      <x:c r="B216" t="n">
        <x:v>2025</x:v>
      </x:c>
      <x:c r="C216" s="10" t="n">
        <x:v>248805</x:v>
      </x:c>
      <x:c r="D216" t="str">
        <x:v>연간 확정(가상)</x:v>
      </x:c>
      <x:c r="E216" t="str">
        <x:v>KRW 환산, 만원</x:v>
      </x:c>
      <x:c r="F216" t="str">
        <x:v>가상생성</x:v>
      </x:c>
    </x:row>
    <x:row r="217" ht="21" customHeight="1">
      <x:c r="A217" t="str">
        <x:v>EXA-0054</x:v>
      </x:c>
      <x:c r="B217" t="n">
        <x:v>2026</x:v>
      </x:c>
      <x:c r="C217" s="10" t="n">
        <x:v>204015</x:v>
      </x:c>
      <x:c r="D217" t="str">
        <x:v>1~3분기 누계</x:v>
      </x:c>
      <x:c r="E217" t="str">
        <x:v>KRW 환산, 만원</x:v>
      </x:c>
      <x:c r="F217" t="str">
        <x:v>가상생성</x:v>
      </x:c>
    </x:row>
    <x:row r="218" ht="21" customHeight="1">
      <x:c r="A218" t="str">
        <x:v>EXA-0055</x:v>
      </x:c>
      <x:c r="B218" t="n">
        <x:v>2023</x:v>
      </x:c>
      <x:c r="C218" s="10" t="n">
        <x:v>93934</x:v>
      </x:c>
      <x:c r="D218" t="str">
        <x:v>연간 확정(가상)</x:v>
      </x:c>
      <x:c r="E218" t="str">
        <x:v>KRW 환산, 만원</x:v>
      </x:c>
      <x:c r="F218" t="str">
        <x:v>가상생성</x:v>
      </x:c>
    </x:row>
    <x:row r="219" ht="21" customHeight="1">
      <x:c r="A219" t="str">
        <x:v>EXA-0055</x:v>
      </x:c>
      <x:c r="B219" t="n">
        <x:v>2024</x:v>
      </x:c>
      <x:c r="C219" s="10" t="n">
        <x:v>74287</x:v>
      </x:c>
      <x:c r="D219" t="str">
        <x:v>연간 확정(가상)</x:v>
      </x:c>
      <x:c r="E219" t="str">
        <x:v>KRW 환산, 만원</x:v>
      </x:c>
      <x:c r="F219" t="str">
        <x:v>가상생성</x:v>
      </x:c>
    </x:row>
    <x:row r="220" ht="21" customHeight="1">
      <x:c r="A220" t="str">
        <x:v>EXA-0055</x:v>
      </x:c>
      <x:c r="B220" t="n">
        <x:v>2025</x:v>
      </x:c>
      <x:c r="C220" s="10" t="n">
        <x:v>101644</x:v>
      </x:c>
      <x:c r="D220" t="str">
        <x:v>연간 확정(가상)</x:v>
      </x:c>
      <x:c r="E220" t="str">
        <x:v>KRW 환산, 만원</x:v>
      </x:c>
      <x:c r="F220" t="str">
        <x:v>가상생성</x:v>
      </x:c>
    </x:row>
    <x:row r="221" ht="21" customHeight="1">
      <x:c r="A221" t="str">
        <x:v>EXA-0055</x:v>
      </x:c>
      <x:c r="B221" t="n">
        <x:v>2026</x:v>
      </x:c>
      <x:c r="C221" s="10" t="n">
        <x:v>66176</x:v>
      </x:c>
      <x:c r="D221" t="str">
        <x:v>1~3분기 누계</x:v>
      </x:c>
      <x:c r="E221" t="str">
        <x:v>KRW 환산, 만원</x:v>
      </x:c>
      <x:c r="F221" t="str">
        <x:v>가상생성</x:v>
      </x:c>
    </x:row>
    <x:row r="222" ht="21" customHeight="1">
      <x:c r="A222" t="str">
        <x:v>EXA-0056</x:v>
      </x:c>
      <x:c r="B222" t="n">
        <x:v>2023</x:v>
      </x:c>
      <x:c r="C222" s="10" t="n">
        <x:v>125766</x:v>
      </x:c>
      <x:c r="D222" t="str">
        <x:v>연간 확정(가상)</x:v>
      </x:c>
      <x:c r="E222" t="str">
        <x:v>KRW 환산, 만원</x:v>
      </x:c>
      <x:c r="F222" t="str">
        <x:v>가상생성</x:v>
      </x:c>
    </x:row>
    <x:row r="223" ht="21" customHeight="1">
      <x:c r="A223" t="str">
        <x:v>EXA-0056</x:v>
      </x:c>
      <x:c r="B223" t="n">
        <x:v>2024</x:v>
      </x:c>
      <x:c r="C223" s="10" t="n">
        <x:v>135799</x:v>
      </x:c>
      <x:c r="D223" t="str">
        <x:v>연간 확정(가상)</x:v>
      </x:c>
      <x:c r="E223" t="str">
        <x:v>KRW 환산, 만원</x:v>
      </x:c>
      <x:c r="F223" t="str">
        <x:v>가상생성</x:v>
      </x:c>
    </x:row>
    <x:row r="224" ht="21" customHeight="1">
      <x:c r="A224" t="str">
        <x:v>EXA-0056</x:v>
      </x:c>
      <x:c r="B224" t="n">
        <x:v>2025</x:v>
      </x:c>
      <x:c r="C224" s="10" t="n">
        <x:v>83429</x:v>
      </x:c>
      <x:c r="D224" t="str">
        <x:v>연간 확정(가상)</x:v>
      </x:c>
      <x:c r="E224" t="str">
        <x:v>KRW 환산, 만원</x:v>
      </x:c>
      <x:c r="F224" t="str">
        <x:v>가상생성</x:v>
      </x:c>
    </x:row>
    <x:row r="225" ht="21" customHeight="1">
      <x:c r="A225" t="str">
        <x:v>EXA-0056</x:v>
      </x:c>
      <x:c r="B225" t="n">
        <x:v>2026</x:v>
      </x:c>
      <x:c r="C225" s="10" t="n">
        <x:v>28734</x:v>
      </x:c>
      <x:c r="D225" t="str">
        <x:v>1~3분기 누계</x:v>
      </x:c>
      <x:c r="E225" t="str">
        <x:v>KRW 환산, 만원</x:v>
      </x:c>
      <x:c r="F225" t="str">
        <x:v>가상생성</x:v>
      </x:c>
    </x:row>
    <x:row r="226" ht="21" customHeight="1">
      <x:c r="A226" t="str">
        <x:v>EXA-0057</x:v>
      </x:c>
      <x:c r="B226" t="n">
        <x:v>2023</x:v>
      </x:c>
      <x:c r="C226" s="10" t="n">
        <x:v>86310</x:v>
      </x:c>
      <x:c r="D226" t="str">
        <x:v>연간 확정(가상)</x:v>
      </x:c>
      <x:c r="E226" t="str">
        <x:v>KRW 환산, 만원</x:v>
      </x:c>
      <x:c r="F226" t="str">
        <x:v>가상생성</x:v>
      </x:c>
    </x:row>
    <x:row r="227" ht="21" customHeight="1">
      <x:c r="A227" t="str">
        <x:v>EXA-0057</x:v>
      </x:c>
      <x:c r="B227" t="n">
        <x:v>2024</x:v>
      </x:c>
      <x:c r="C227" s="10" t="n">
        <x:v>87121</x:v>
      </x:c>
      <x:c r="D227" t="str">
        <x:v>연간 확정(가상)</x:v>
      </x:c>
      <x:c r="E227" t="str">
        <x:v>KRW 환산, 만원</x:v>
      </x:c>
      <x:c r="F227" t="str">
        <x:v>가상생성</x:v>
      </x:c>
    </x:row>
    <x:row r="228" ht="21" customHeight="1">
      <x:c r="A228" t="str">
        <x:v>EXA-0057</x:v>
      </x:c>
      <x:c r="B228" t="n">
        <x:v>2025</x:v>
      </x:c>
      <x:c r="C228" s="10" t="n">
        <x:v>117718</x:v>
      </x:c>
      <x:c r="D228" t="str">
        <x:v>연간 확정(가상)</x:v>
      </x:c>
      <x:c r="E228" t="str">
        <x:v>KRW 환산, 만원</x:v>
      </x:c>
      <x:c r="F228" t="str">
        <x:v>가상생성</x:v>
      </x:c>
    </x:row>
    <x:row r="229" ht="21" customHeight="1">
      <x:c r="A229" t="str">
        <x:v>EXA-0057</x:v>
      </x:c>
      <x:c r="B229" t="n">
        <x:v>2026</x:v>
      </x:c>
      <x:c r="C229" s="10" t="n">
        <x:v>89719</x:v>
      </x:c>
      <x:c r="D229" t="str">
        <x:v>1~3분기 누계</x:v>
      </x:c>
      <x:c r="E229" t="str">
        <x:v>KRW 환산, 만원</x:v>
      </x:c>
      <x:c r="F229" t="str">
        <x:v>가상생성</x:v>
      </x:c>
    </x:row>
    <x:row r="230" ht="21" customHeight="1">
      <x:c r="A230" t="str">
        <x:v>EXA-0058</x:v>
      </x:c>
      <x:c r="B230" t="n">
        <x:v>2023</x:v>
      </x:c>
      <x:c r="C230" s="10" t="n">
        <x:v>72100</x:v>
      </x:c>
      <x:c r="D230" t="str">
        <x:v>연간 확정(가상)</x:v>
      </x:c>
      <x:c r="E230" t="str">
        <x:v>KRW 환산, 만원</x:v>
      </x:c>
      <x:c r="F230" t="str">
        <x:v>가상생성</x:v>
      </x:c>
    </x:row>
    <x:row r="231" ht="21" customHeight="1">
      <x:c r="A231" t="str">
        <x:v>EXA-0058</x:v>
      </x:c>
      <x:c r="B231" t="n">
        <x:v>2024</x:v>
      </x:c>
      <x:c r="C231" s="10" t="n">
        <x:v>99430</x:v>
      </x:c>
      <x:c r="D231" t="str">
        <x:v>연간 확정(가상)</x:v>
      </x:c>
      <x:c r="E231" t="str">
        <x:v>KRW 환산, 만원</x:v>
      </x:c>
      <x:c r="F231" t="str">
        <x:v>가상생성</x:v>
      </x:c>
    </x:row>
    <x:row r="232" ht="21" customHeight="1">
      <x:c r="A232" t="str">
        <x:v>EXA-0058</x:v>
      </x:c>
      <x:c r="B232" t="n">
        <x:v>2025</x:v>
      </x:c>
      <x:c r="C232" s="10" t="n">
        <x:v>117684</x:v>
      </x:c>
      <x:c r="D232" t="str">
        <x:v>연간 확정(가상)</x:v>
      </x:c>
      <x:c r="E232" t="str">
        <x:v>KRW 환산, 만원</x:v>
      </x:c>
      <x:c r="F232" t="str">
        <x:v>가상생성</x:v>
      </x:c>
    </x:row>
    <x:row r="233" ht="21" customHeight="1">
      <x:c r="A233" t="str">
        <x:v>EXA-0058</x:v>
      </x:c>
      <x:c r="B233" t="n">
        <x:v>2026</x:v>
      </x:c>
      <x:c r="C233" s="10" t="n">
        <x:v>59145</x:v>
      </x:c>
      <x:c r="D233" t="str">
        <x:v>1~3분기 누계</x:v>
      </x:c>
      <x:c r="E233" t="str">
        <x:v>KRW 환산, 만원</x:v>
      </x:c>
      <x:c r="F233" t="str">
        <x:v>가상생성</x:v>
      </x:c>
    </x:row>
    <x:row r="234" ht="21" customHeight="1">
      <x:c r="A234" t="str">
        <x:v>EXA-0059</x:v>
      </x:c>
      <x:c r="B234" t="n">
        <x:v>2023</x:v>
      </x:c>
      <x:c r="C234" s="10" t="n">
        <x:v>235528</x:v>
      </x:c>
      <x:c r="D234" t="str">
        <x:v>연간 확정(가상)</x:v>
      </x:c>
      <x:c r="E234" t="str">
        <x:v>KRW 환산, 만원</x:v>
      </x:c>
      <x:c r="F234" t="str">
        <x:v>가상생성</x:v>
      </x:c>
    </x:row>
    <x:row r="235" ht="21" customHeight="1">
      <x:c r="A235" t="str">
        <x:v>EXA-0059</x:v>
      </x:c>
      <x:c r="B235" t="n">
        <x:v>2024</x:v>
      </x:c>
      <x:c r="C235" s="10" t="n">
        <x:v>246779</x:v>
      </x:c>
      <x:c r="D235" t="str">
        <x:v>연간 확정(가상)</x:v>
      </x:c>
      <x:c r="E235" t="str">
        <x:v>KRW 환산, 만원</x:v>
      </x:c>
      <x:c r="F235" t="str">
        <x:v>가상생성</x:v>
      </x:c>
    </x:row>
    <x:row r="236" ht="21" customHeight="1">
      <x:c r="A236" t="str">
        <x:v>EXA-0059</x:v>
      </x:c>
      <x:c r="B236" t="n">
        <x:v>2025</x:v>
      </x:c>
      <x:c r="C236" s="10" t="n">
        <x:v>389481</x:v>
      </x:c>
      <x:c r="D236" t="str">
        <x:v>연간 확정(가상)</x:v>
      </x:c>
      <x:c r="E236" t="str">
        <x:v>KRW 환산, 만원</x:v>
      </x:c>
      <x:c r="F236" t="str">
        <x:v>가상생성</x:v>
      </x:c>
    </x:row>
    <x:row r="237" ht="21" customHeight="1">
      <x:c r="A237" t="str">
        <x:v>EXA-0059</x:v>
      </x:c>
      <x:c r="B237" t="n">
        <x:v>2026</x:v>
      </x:c>
      <x:c r="C237" s="10" t="n">
        <x:v>300993</x:v>
      </x:c>
      <x:c r="D237" t="str">
        <x:v>1~3분기 누계</x:v>
      </x:c>
      <x:c r="E237" t="str">
        <x:v>KRW 환산, 만원</x:v>
      </x:c>
      <x:c r="F237" t="str">
        <x:v>가상생성</x:v>
      </x:c>
    </x:row>
    <x:row r="238" ht="21" customHeight="1">
      <x:c r="A238" t="str">
        <x:v>EXA-0060</x:v>
      </x:c>
      <x:c r="B238" t="n">
        <x:v>2023</x:v>
      </x:c>
      <x:c r="C238" s="10" t="n">
        <x:v>19482</x:v>
      </x:c>
      <x:c r="D238" t="str">
        <x:v>연간 확정(가상)</x:v>
      </x:c>
      <x:c r="E238" t="str">
        <x:v>KRW 환산, 만원</x:v>
      </x:c>
      <x:c r="F238" t="str">
        <x:v>가상생성</x:v>
      </x:c>
    </x:row>
    <x:row r="239" ht="21" customHeight="1">
      <x:c r="A239" t="str">
        <x:v>EXA-0060</x:v>
      </x:c>
      <x:c r="B239" t="n">
        <x:v>2024</x:v>
      </x:c>
      <x:c r="C239" s="10" t="n">
        <x:v>15356</x:v>
      </x:c>
      <x:c r="D239" t="str">
        <x:v>연간 확정(가상)</x:v>
      </x:c>
      <x:c r="E239" t="str">
        <x:v>KRW 환산, 만원</x:v>
      </x:c>
      <x:c r="F239" t="str">
        <x:v>가상생성</x:v>
      </x:c>
    </x:row>
    <x:row r="240" ht="21" customHeight="1">
      <x:c r="A240" t="str">
        <x:v>EXA-0060</x:v>
      </x:c>
      <x:c r="B240" t="n">
        <x:v>2025</x:v>
      </x:c>
      <x:c r="C240" s="10" t="n">
        <x:v>15499</x:v>
      </x:c>
      <x:c r="D240" t="str">
        <x:v>연간 확정(가상)</x:v>
      </x:c>
      <x:c r="E240" t="str">
        <x:v>KRW 환산, 만원</x:v>
      </x:c>
      <x:c r="F240" t="str">
        <x:v>가상생성</x:v>
      </x:c>
    </x:row>
    <x:row r="241" ht="21" customHeight="1">
      <x:c r="A241" t="str">
        <x:v>EXA-0060</x:v>
      </x:c>
      <x:c r="B241" t="n">
        <x:v>2026</x:v>
      </x:c>
      <x:c r="C241" s="10" t="n">
        <x:v>12174</x:v>
      </x:c>
      <x:c r="D241" t="str">
        <x:v>1~3분기 누계</x:v>
      </x:c>
      <x:c r="E241" t="str">
        <x:v>KRW 환산, 만원</x:v>
      </x:c>
      <x:c r="F241" t="str">
        <x:v>가상생성</x:v>
      </x:c>
    </x:row>
    <x:row r="242" ht="21" customHeight="1">
      <x:c r="A242" t="str">
        <x:v>EXA-0061</x:v>
      </x:c>
      <x:c r="B242" t="n">
        <x:v>2023</x:v>
      </x:c>
      <x:c r="C242" s="10" t="n">
        <x:v>207540</x:v>
      </x:c>
      <x:c r="D242" t="str">
        <x:v>연간 확정(가상)</x:v>
      </x:c>
      <x:c r="E242" t="str">
        <x:v>KRW 환산, 만원</x:v>
      </x:c>
      <x:c r="F242" t="str">
        <x:v>가상생성</x:v>
      </x:c>
    </x:row>
    <x:row r="243" ht="21" customHeight="1">
      <x:c r="A243" t="str">
        <x:v>EXA-0061</x:v>
      </x:c>
      <x:c r="B243" t="n">
        <x:v>2024</x:v>
      </x:c>
      <x:c r="C243" s="10" t="n">
        <x:v>228462</x:v>
      </x:c>
      <x:c r="D243" t="str">
        <x:v>연간 확정(가상)</x:v>
      </x:c>
      <x:c r="E243" t="str">
        <x:v>KRW 환산, 만원</x:v>
      </x:c>
      <x:c r="F243" t="str">
        <x:v>가상생성</x:v>
      </x:c>
    </x:row>
    <x:row r="244" ht="21" customHeight="1">
      <x:c r="A244" t="str">
        <x:v>EXA-0061</x:v>
      </x:c>
      <x:c r="B244" t="n">
        <x:v>2025</x:v>
      </x:c>
      <x:c r="C244" s="10" t="n">
        <x:v>330228</x:v>
      </x:c>
      <x:c r="D244" t="str">
        <x:v>연간 확정(가상)</x:v>
      </x:c>
      <x:c r="E244" t="str">
        <x:v>KRW 환산, 만원</x:v>
      </x:c>
      <x:c r="F244" t="str">
        <x:v>가상생성</x:v>
      </x:c>
    </x:row>
    <x:row r="245" ht="21" customHeight="1">
      <x:c r="A245" t="str">
        <x:v>EXA-0061</x:v>
      </x:c>
      <x:c r="B245" t="n">
        <x:v>2026</x:v>
      </x:c>
      <x:c r="C245" s="10" t="n">
        <x:v>115425</x:v>
      </x:c>
      <x:c r="D245" t="str">
        <x:v>1~3분기 누계</x:v>
      </x:c>
      <x:c r="E245" t="str">
        <x:v>KRW 환산, 만원</x:v>
      </x:c>
      <x:c r="F245" t="str">
        <x:v>가상생성</x:v>
      </x:c>
    </x:row>
    <x:row r="246" ht="21" customHeight="1">
      <x:c r="A246" t="str">
        <x:v>EXA-0062</x:v>
      </x:c>
      <x:c r="B246" t="n">
        <x:v>2023</x:v>
      </x:c>
      <x:c r="C246" s="10" t="n">
        <x:v>148725</x:v>
      </x:c>
      <x:c r="D246" t="str">
        <x:v>연간 확정(가상)</x:v>
      </x:c>
      <x:c r="E246" t="str">
        <x:v>KRW 환산, 만원</x:v>
      </x:c>
      <x:c r="F246" t="str">
        <x:v>가상생성</x:v>
      </x:c>
    </x:row>
    <x:row r="247" ht="21" customHeight="1">
      <x:c r="A247" t="str">
        <x:v>EXA-0062</x:v>
      </x:c>
      <x:c r="B247" t="n">
        <x:v>2024</x:v>
      </x:c>
      <x:c r="C247" s="10" t="n">
        <x:v>202276</x:v>
      </x:c>
      <x:c r="D247" t="str">
        <x:v>연간 확정(가상)</x:v>
      </x:c>
      <x:c r="E247" t="str">
        <x:v>KRW 환산, 만원</x:v>
      </x:c>
      <x:c r="F247" t="str">
        <x:v>가상생성</x:v>
      </x:c>
    </x:row>
    <x:row r="248" ht="21" customHeight="1">
      <x:c r="A248" t="str">
        <x:v>EXA-0062</x:v>
      </x:c>
      <x:c r="B248" t="n">
        <x:v>2025</x:v>
      </x:c>
      <x:c r="C248" s="10" t="n">
        <x:v>195873</x:v>
      </x:c>
      <x:c r="D248" t="str">
        <x:v>연간 확정(가상)</x:v>
      </x:c>
      <x:c r="E248" t="str">
        <x:v>KRW 환산, 만원</x:v>
      </x:c>
      <x:c r="F248" t="str">
        <x:v>가상생성</x:v>
      </x:c>
    </x:row>
    <x:row r="249" ht="21" customHeight="1">
      <x:c r="A249" t="str">
        <x:v>EXA-0062</x:v>
      </x:c>
      <x:c r="B249" t="n">
        <x:v>2026</x:v>
      </x:c>
      <x:c r="C249" s="10" t="n">
        <x:v>106165</x:v>
      </x:c>
      <x:c r="D249" t="str">
        <x:v>1~3분기 누계</x:v>
      </x:c>
      <x:c r="E249" t="str">
        <x:v>KRW 환산, 만원</x:v>
      </x:c>
      <x:c r="F249" t="str">
        <x:v>가상생성</x:v>
      </x:c>
    </x:row>
    <x:row r="250" ht="21" customHeight="1">
      <x:c r="A250" t="str">
        <x:v>EXA-0063</x:v>
      </x:c>
      <x:c r="B250" t="n">
        <x:v>2023</x:v>
      </x:c>
      <x:c r="C250" s="10" t="n">
        <x:v>222814</x:v>
      </x:c>
      <x:c r="D250" t="str">
        <x:v>연간 확정(가상)</x:v>
      </x:c>
      <x:c r="E250" t="str">
        <x:v>KRW 환산, 만원</x:v>
      </x:c>
      <x:c r="F250" t="str">
        <x:v>가상생성</x:v>
      </x:c>
    </x:row>
    <x:row r="251" ht="21" customHeight="1">
      <x:c r="A251" t="str">
        <x:v>EXA-0063</x:v>
      </x:c>
      <x:c r="B251" t="n">
        <x:v>2024</x:v>
      </x:c>
      <x:c r="C251" s="10" t="n">
        <x:v>293418</x:v>
      </x:c>
      <x:c r="D251" t="str">
        <x:v>연간 확정(가상)</x:v>
      </x:c>
      <x:c r="E251" t="str">
        <x:v>KRW 환산, 만원</x:v>
      </x:c>
      <x:c r="F251" t="str">
        <x:v>가상생성</x:v>
      </x:c>
    </x:row>
    <x:row r="252" ht="21" customHeight="1">
      <x:c r="A252" t="str">
        <x:v>EXA-0063</x:v>
      </x:c>
      <x:c r="B252" t="n">
        <x:v>2025</x:v>
      </x:c>
      <x:c r="C252" s="10" t="n">
        <x:v>198349</x:v>
      </x:c>
      <x:c r="D252" t="str">
        <x:v>연간 확정(가상)</x:v>
      </x:c>
      <x:c r="E252" t="str">
        <x:v>KRW 환산, 만원</x:v>
      </x:c>
      <x:c r="F252" t="str">
        <x:v>가상생성</x:v>
      </x:c>
    </x:row>
    <x:row r="253" ht="21" customHeight="1">
      <x:c r="A253" t="str">
        <x:v>EXA-0063</x:v>
      </x:c>
      <x:c r="B253" t="n">
        <x:v>2026</x:v>
      </x:c>
      <x:c r="C253" s="10" t="n">
        <x:v>82298</x:v>
      </x:c>
      <x:c r="D253" t="str">
        <x:v>1~3분기 누계</x:v>
      </x:c>
      <x:c r="E253" t="str">
        <x:v>KRW 환산, 만원</x:v>
      </x:c>
      <x:c r="F253" t="str">
        <x:v>가상생성</x:v>
      </x:c>
    </x:row>
    <x:row r="254" ht="21" customHeight="1">
      <x:c r="A254" t="str">
        <x:v>EXA-0064</x:v>
      </x:c>
      <x:c r="B254" t="n">
        <x:v>2023</x:v>
      </x:c>
      <x:c r="C254" s="10" t="n">
        <x:v>109849</x:v>
      </x:c>
      <x:c r="D254" t="str">
        <x:v>연간 확정(가상)</x:v>
      </x:c>
      <x:c r="E254" t="str">
        <x:v>KRW 환산, 만원</x:v>
      </x:c>
      <x:c r="F254" t="str">
        <x:v>가상생성</x:v>
      </x:c>
    </x:row>
    <x:row r="255" ht="21" customHeight="1">
      <x:c r="A255" t="str">
        <x:v>EXA-0064</x:v>
      </x:c>
      <x:c r="B255" t="n">
        <x:v>2024</x:v>
      </x:c>
      <x:c r="C255" s="10" t="n">
        <x:v>80545</x:v>
      </x:c>
      <x:c r="D255" t="str">
        <x:v>연간 확정(가상)</x:v>
      </x:c>
      <x:c r="E255" t="str">
        <x:v>KRW 환산, 만원</x:v>
      </x:c>
      <x:c r="F255" t="str">
        <x:v>가상생성</x:v>
      </x:c>
    </x:row>
    <x:row r="256" ht="21" customHeight="1">
      <x:c r="A256" t="str">
        <x:v>EXA-0064</x:v>
      </x:c>
      <x:c r="B256" t="n">
        <x:v>2025</x:v>
      </x:c>
      <x:c r="C256" s="10" t="n">
        <x:v>71145</x:v>
      </x:c>
      <x:c r="D256" t="str">
        <x:v>연간 확정(가상)</x:v>
      </x:c>
      <x:c r="E256" t="str">
        <x:v>KRW 환산, 만원</x:v>
      </x:c>
      <x:c r="F256" t="str">
        <x:v>가상생성</x:v>
      </x:c>
    </x:row>
    <x:row r="257" ht="21" customHeight="1">
      <x:c r="A257" t="str">
        <x:v>EXA-0064</x:v>
      </x:c>
      <x:c r="B257" t="n">
        <x:v>2026</x:v>
      </x:c>
      <x:c r="C257" s="10" t="n">
        <x:v>50008</x:v>
      </x:c>
      <x:c r="D257" t="str">
        <x:v>1~3분기 누계</x:v>
      </x:c>
      <x:c r="E257" t="str">
        <x:v>KRW 환산, 만원</x:v>
      </x:c>
      <x:c r="F257" t="str">
        <x:v>가상생성</x:v>
      </x:c>
    </x:row>
    <x:row r="258" ht="21" customHeight="1">
      <x:c r="A258" t="str">
        <x:v>EXA-0065</x:v>
      </x:c>
      <x:c r="B258" t="n">
        <x:v>2023</x:v>
      </x:c>
      <x:c r="C258" s="10" t="n">
        <x:v>47917</x:v>
      </x:c>
      <x:c r="D258" t="str">
        <x:v>연간 확정(가상)</x:v>
      </x:c>
      <x:c r="E258" t="str">
        <x:v>KRW 환산, 만원</x:v>
      </x:c>
      <x:c r="F258" t="str">
        <x:v>가상생성</x:v>
      </x:c>
    </x:row>
    <x:row r="259" ht="21" customHeight="1">
      <x:c r="A259" t="str">
        <x:v>EXA-0065</x:v>
      </x:c>
      <x:c r="B259" t="n">
        <x:v>2024</x:v>
      </x:c>
      <x:c r="C259" s="10" t="n">
        <x:v>64139</x:v>
      </x:c>
      <x:c r="D259" t="str">
        <x:v>연간 확정(가상)</x:v>
      </x:c>
      <x:c r="E259" t="str">
        <x:v>KRW 환산, 만원</x:v>
      </x:c>
      <x:c r="F259" t="str">
        <x:v>가상생성</x:v>
      </x:c>
    </x:row>
    <x:row r="260" ht="21" customHeight="1">
      <x:c r="A260" t="str">
        <x:v>EXA-0065</x:v>
      </x:c>
      <x:c r="B260" t="n">
        <x:v>2025</x:v>
      </x:c>
      <x:c r="C260" s="10" t="n">
        <x:v>57200</x:v>
      </x:c>
      <x:c r="D260" t="str">
        <x:v>연간 확정(가상)</x:v>
      </x:c>
      <x:c r="E260" t="str">
        <x:v>KRW 환산, 만원</x:v>
      </x:c>
      <x:c r="F260" t="str">
        <x:v>가상생성</x:v>
      </x:c>
    </x:row>
    <x:row r="261" ht="21" customHeight="1">
      <x:c r="A261" t="str">
        <x:v>EXA-0065</x:v>
      </x:c>
      <x:c r="B261" t="n">
        <x:v>2026</x:v>
      </x:c>
      <x:c r="C261" s="10" t="n">
        <x:v>31983</x:v>
      </x:c>
      <x:c r="D261" t="str">
        <x:v>1~3분기 누계</x:v>
      </x:c>
      <x:c r="E261" t="str">
        <x:v>KRW 환산, 만원</x:v>
      </x:c>
      <x:c r="F261" t="str">
        <x:v>가상생성</x:v>
      </x:c>
    </x:row>
    <x:row r="262" ht="21" customHeight="1">
      <x:c r="A262" t="str">
        <x:v>EXA-0066</x:v>
      </x:c>
      <x:c r="B262" t="n">
        <x:v>2023</x:v>
      </x:c>
      <x:c r="C262" s="10" t="n">
        <x:v>38346</x:v>
      </x:c>
      <x:c r="D262" t="str">
        <x:v>연간 확정(가상)</x:v>
      </x:c>
      <x:c r="E262" t="str">
        <x:v>KRW 환산, 만원</x:v>
      </x:c>
      <x:c r="F262" t="str">
        <x:v>가상생성</x:v>
      </x:c>
    </x:row>
    <x:row r="263" ht="21" customHeight="1">
      <x:c r="A263" t="str">
        <x:v>EXA-0066</x:v>
      </x:c>
      <x:c r="B263" t="n">
        <x:v>2024</x:v>
      </x:c>
      <x:c r="C263" s="10" t="n">
        <x:v>45926</x:v>
      </x:c>
      <x:c r="D263" t="str">
        <x:v>연간 확정(가상)</x:v>
      </x:c>
      <x:c r="E263" t="str">
        <x:v>KRW 환산, 만원</x:v>
      </x:c>
      <x:c r="F263" t="str">
        <x:v>가상생성</x:v>
      </x:c>
    </x:row>
    <x:row r="264" ht="21" customHeight="1">
      <x:c r="A264" t="str">
        <x:v>EXA-0066</x:v>
      </x:c>
      <x:c r="B264" t="n">
        <x:v>2025</x:v>
      </x:c>
      <x:c r="C264" s="10" t="n">
        <x:v>32566</x:v>
      </x:c>
      <x:c r="D264" t="str">
        <x:v>연간 확정(가상)</x:v>
      </x:c>
      <x:c r="E264" t="str">
        <x:v>KRW 환산, 만원</x:v>
      </x:c>
      <x:c r="F264" t="str">
        <x:v>가상생성</x:v>
      </x:c>
    </x:row>
    <x:row r="265" ht="21" customHeight="1">
      <x:c r="A265" t="str">
        <x:v>EXA-0066</x:v>
      </x:c>
      <x:c r="B265" t="n">
        <x:v>2026</x:v>
      </x:c>
      <x:c r="C265" s="10" t="n">
        <x:v>13817</x:v>
      </x:c>
      <x:c r="D265" t="str">
        <x:v>1~3분기 누계</x:v>
      </x:c>
      <x:c r="E265" t="str">
        <x:v>KRW 환산, 만원</x:v>
      </x:c>
      <x:c r="F265" t="str">
        <x:v>가상생성</x:v>
      </x:c>
    </x:row>
    <x:row r="266" ht="21" customHeight="1">
      <x:c r="A266" t="str">
        <x:v>EXA-0067</x:v>
      </x:c>
      <x:c r="B266" t="n">
        <x:v>2023</x:v>
      </x:c>
      <x:c r="C266" s="10" t="n">
        <x:v>22559</x:v>
      </x:c>
      <x:c r="D266" t="str">
        <x:v>연간 확정(가상)</x:v>
      </x:c>
      <x:c r="E266" t="str">
        <x:v>KRW 환산, 만원</x:v>
      </x:c>
      <x:c r="F266" t="str">
        <x:v>가상생성</x:v>
      </x:c>
    </x:row>
    <x:row r="267" ht="21" customHeight="1">
      <x:c r="A267" t="str">
        <x:v>EXA-0067</x:v>
      </x:c>
      <x:c r="B267" t="n">
        <x:v>2024</x:v>
      </x:c>
      <x:c r="C267" s="10" t="n">
        <x:v>28294</x:v>
      </x:c>
      <x:c r="D267" t="str">
        <x:v>연간 확정(가상)</x:v>
      </x:c>
      <x:c r="E267" t="str">
        <x:v>KRW 환산, 만원</x:v>
      </x:c>
      <x:c r="F267" t="str">
        <x:v>가상생성</x:v>
      </x:c>
    </x:row>
    <x:row r="268" ht="21" customHeight="1">
      <x:c r="A268" t="str">
        <x:v>EXA-0067</x:v>
      </x:c>
      <x:c r="B268" t="n">
        <x:v>2025</x:v>
      </x:c>
      <x:c r="C268" s="10" t="n">
        <x:v>23101</x:v>
      </x:c>
      <x:c r="D268" t="str">
        <x:v>연간 확정(가상)</x:v>
      </x:c>
      <x:c r="E268" t="str">
        <x:v>KRW 환산, 만원</x:v>
      </x:c>
      <x:c r="F268" t="str">
        <x:v>가상생성</x:v>
      </x:c>
    </x:row>
    <x:row r="269" ht="21" customHeight="1">
      <x:c r="A269" t="str">
        <x:v>EXA-0067</x:v>
      </x:c>
      <x:c r="B269" t="n">
        <x:v>2026</x:v>
      </x:c>
      <x:c r="C269" s="10" t="n">
        <x:v>10226</x:v>
      </x:c>
      <x:c r="D269" t="str">
        <x:v>1~3분기 누계</x:v>
      </x:c>
      <x:c r="E269" t="str">
        <x:v>KRW 환산, 만원</x:v>
      </x:c>
      <x:c r="F269" t="str">
        <x:v>가상생성</x:v>
      </x:c>
    </x:row>
    <x:row r="270" ht="21" customHeight="1">
      <x:c r="A270" t="str">
        <x:v>EXA-0068</x:v>
      </x:c>
      <x:c r="B270" t="n">
        <x:v>2023</x:v>
      </x:c>
      <x:c r="C270" s="10" t="n">
        <x:v>156257</x:v>
      </x:c>
      <x:c r="D270" t="str">
        <x:v>연간 확정(가상)</x:v>
      </x:c>
      <x:c r="E270" t="str">
        <x:v>KRW 환산, 만원</x:v>
      </x:c>
      <x:c r="F270" t="str">
        <x:v>가상생성</x:v>
      </x:c>
    </x:row>
    <x:row r="271" ht="21" customHeight="1">
      <x:c r="A271" t="str">
        <x:v>EXA-0068</x:v>
      </x:c>
      <x:c r="B271" t="n">
        <x:v>2024</x:v>
      </x:c>
      <x:c r="C271" s="10" t="n">
        <x:v>146639</x:v>
      </x:c>
      <x:c r="D271" t="str">
        <x:v>연간 확정(가상)</x:v>
      </x:c>
      <x:c r="E271" t="str">
        <x:v>KRW 환산, 만원</x:v>
      </x:c>
      <x:c r="F271" t="str">
        <x:v>가상생성</x:v>
      </x:c>
    </x:row>
    <x:row r="272" ht="21" customHeight="1">
      <x:c r="A272" t="str">
        <x:v>EXA-0068</x:v>
      </x:c>
      <x:c r="B272" t="n">
        <x:v>2025</x:v>
      </x:c>
      <x:c r="C272" s="10" t="n">
        <x:v>241560</x:v>
      </x:c>
      <x:c r="D272" t="str">
        <x:v>연간 확정(가상)</x:v>
      </x:c>
      <x:c r="E272" t="str">
        <x:v>KRW 환산, 만원</x:v>
      </x:c>
      <x:c r="F272" t="str">
        <x:v>가상생성</x:v>
      </x:c>
    </x:row>
    <x:row r="273" ht="21" customHeight="1">
      <x:c r="A273" t="str">
        <x:v>EXA-0068</x:v>
      </x:c>
      <x:c r="B273" t="n">
        <x:v>2026</x:v>
      </x:c>
      <x:c r="C273" s="10" t="n">
        <x:v>174000</x:v>
      </x:c>
      <x:c r="D273" t="str">
        <x:v>1~3분기 누계</x:v>
      </x:c>
      <x:c r="E273" t="str">
        <x:v>KRW 환산, 만원</x:v>
      </x:c>
      <x:c r="F273" t="str">
        <x:v>가상생성</x:v>
      </x:c>
    </x:row>
    <x:row r="274" ht="21" customHeight="1">
      <x:c r="A274" t="str">
        <x:v>EXA-0069</x:v>
      </x:c>
      <x:c r="B274" t="n">
        <x:v>2023</x:v>
      </x:c>
      <x:c r="C274" s="10" t="n">
        <x:v>37674</x:v>
      </x:c>
      <x:c r="D274" t="str">
        <x:v>연간 확정(가상)</x:v>
      </x:c>
      <x:c r="E274" t="str">
        <x:v>KRW 환산, 만원</x:v>
      </x:c>
      <x:c r="F274" t="str">
        <x:v>가상생성</x:v>
      </x:c>
    </x:row>
    <x:row r="275" ht="21" customHeight="1">
      <x:c r="A275" t="str">
        <x:v>EXA-0069</x:v>
      </x:c>
      <x:c r="B275" t="n">
        <x:v>2024</x:v>
      </x:c>
      <x:c r="C275" s="10" t="n">
        <x:v>45583</x:v>
      </x:c>
      <x:c r="D275" t="str">
        <x:v>연간 확정(가상)</x:v>
      </x:c>
      <x:c r="E275" t="str">
        <x:v>KRW 환산, 만원</x:v>
      </x:c>
      <x:c r="F275" t="str">
        <x:v>가상생성</x:v>
      </x:c>
    </x:row>
    <x:row r="276" ht="21" customHeight="1">
      <x:c r="A276" t="str">
        <x:v>EXA-0069</x:v>
      </x:c>
      <x:c r="B276" t="n">
        <x:v>2025</x:v>
      </x:c>
      <x:c r="C276" s="10" t="n">
        <x:v>61939</x:v>
      </x:c>
      <x:c r="D276" t="str">
        <x:v>연간 확정(가상)</x:v>
      </x:c>
      <x:c r="E276" t="str">
        <x:v>KRW 환산, 만원</x:v>
      </x:c>
      <x:c r="F276" t="str">
        <x:v>가상생성</x:v>
      </x:c>
    </x:row>
    <x:row r="277" ht="21" customHeight="1">
      <x:c r="A277" t="str">
        <x:v>EXA-0069</x:v>
      </x:c>
      <x:c r="B277" t="n">
        <x:v>2026</x:v>
      </x:c>
      <x:c r="C277" s="10" t="n">
        <x:v>27830</x:v>
      </x:c>
      <x:c r="D277" t="str">
        <x:v>1~3분기 누계</x:v>
      </x:c>
      <x:c r="E277" t="str">
        <x:v>KRW 환산, 만원</x:v>
      </x:c>
      <x:c r="F277" t="str">
        <x:v>가상생성</x:v>
      </x:c>
    </x:row>
    <x:row r="278" ht="21" customHeight="1">
      <x:c r="A278" t="str">
        <x:v>EXA-0070</x:v>
      </x:c>
      <x:c r="B278" t="n">
        <x:v>2023</x:v>
      </x:c>
      <x:c r="C278" s="10" t="n">
        <x:v>10836</x:v>
      </x:c>
      <x:c r="D278" t="str">
        <x:v>연간 확정(가상)</x:v>
      </x:c>
      <x:c r="E278" t="str">
        <x:v>KRW 환산, 만원</x:v>
      </x:c>
      <x:c r="F278" t="str">
        <x:v>가상생성</x:v>
      </x:c>
    </x:row>
    <x:row r="279" ht="21" customHeight="1">
      <x:c r="A279" t="str">
        <x:v>EXA-0070</x:v>
      </x:c>
      <x:c r="B279" t="n">
        <x:v>2024</x:v>
      </x:c>
      <x:c r="C279" s="10" t="n">
        <x:v>12725</x:v>
      </x:c>
      <x:c r="D279" t="str">
        <x:v>연간 확정(가상)</x:v>
      </x:c>
      <x:c r="E279" t="str">
        <x:v>KRW 환산, 만원</x:v>
      </x:c>
      <x:c r="F279" t="str">
        <x:v>가상생성</x:v>
      </x:c>
    </x:row>
    <x:row r="280" ht="21" customHeight="1">
      <x:c r="A280" t="str">
        <x:v>EXA-0070</x:v>
      </x:c>
      <x:c r="B280" t="n">
        <x:v>2025</x:v>
      </x:c>
      <x:c r="C280" s="10" t="n">
        <x:v>8177</x:v>
      </x:c>
      <x:c r="D280" t="str">
        <x:v>연간 확정(가상)</x:v>
      </x:c>
      <x:c r="E280" t="str">
        <x:v>KRW 환산, 만원</x:v>
      </x:c>
      <x:c r="F280" t="str">
        <x:v>가상생성</x:v>
      </x:c>
    </x:row>
    <x:row r="281" ht="21" customHeight="1">
      <x:c r="A281" t="str">
        <x:v>EXA-0070</x:v>
      </x:c>
      <x:c r="B281" t="n">
        <x:v>2026</x:v>
      </x:c>
      <x:c r="C281" s="10" t="n">
        <x:v>7086</x:v>
      </x:c>
      <x:c r="D281" t="str">
        <x:v>1~3분기 누계</x:v>
      </x:c>
      <x:c r="E281" t="str">
        <x:v>KRW 환산, 만원</x:v>
      </x:c>
      <x:c r="F281" t="str">
        <x:v>가상생성</x:v>
      </x:c>
    </x:row>
    <x:row r="282" ht="21" customHeight="1">
      <x:c r="A282" t="str">
        <x:v>EXA-0071</x:v>
      </x:c>
      <x:c r="B282" t="n">
        <x:v>2023</x:v>
      </x:c>
      <x:c r="C282" s="10" t="n">
        <x:v>250082</x:v>
      </x:c>
      <x:c r="D282" t="str">
        <x:v>연간 확정(가상)</x:v>
      </x:c>
      <x:c r="E282" t="str">
        <x:v>KRW 환산, 만원</x:v>
      </x:c>
      <x:c r="F282" t="str">
        <x:v>가상생성</x:v>
      </x:c>
    </x:row>
    <x:row r="283" ht="21" customHeight="1">
      <x:c r="A283" t="str">
        <x:v>EXA-0071</x:v>
      </x:c>
      <x:c r="B283" t="n">
        <x:v>2024</x:v>
      </x:c>
      <x:c r="C283" s="10" t="n">
        <x:v>232270</x:v>
      </x:c>
      <x:c r="D283" t="str">
        <x:v>연간 확정(가상)</x:v>
      </x:c>
      <x:c r="E283" t="str">
        <x:v>KRW 환산, 만원</x:v>
      </x:c>
      <x:c r="F283" t="str">
        <x:v>가상생성</x:v>
      </x:c>
    </x:row>
    <x:row r="284" ht="21" customHeight="1">
      <x:c r="A284" t="str">
        <x:v>EXA-0071</x:v>
      </x:c>
      <x:c r="B284" t="n">
        <x:v>2025</x:v>
      </x:c>
      <x:c r="C284" s="10" t="n">
        <x:v>177150</x:v>
      </x:c>
      <x:c r="D284" t="str">
        <x:v>연간 확정(가상)</x:v>
      </x:c>
      <x:c r="E284" t="str">
        <x:v>KRW 환산, 만원</x:v>
      </x:c>
      <x:c r="F284" t="str">
        <x:v>가상생성</x:v>
      </x:c>
    </x:row>
    <x:row r="285" ht="21" customHeight="1">
      <x:c r="A285" t="str">
        <x:v>EXA-0071</x:v>
      </x:c>
      <x:c r="B285" t="n">
        <x:v>2026</x:v>
      </x:c>
      <x:c r="C285" s="10" t="n">
        <x:v>151389</x:v>
      </x:c>
      <x:c r="D285" t="str">
        <x:v>1~3분기 누계</x:v>
      </x:c>
      <x:c r="E285" t="str">
        <x:v>KRW 환산, 만원</x:v>
      </x:c>
      <x:c r="F285" t="str">
        <x:v>가상생성</x:v>
      </x:c>
    </x:row>
    <x:row r="286" ht="21" customHeight="1">
      <x:c r="A286" t="str">
        <x:v>EXA-0072</x:v>
      </x:c>
      <x:c r="B286" t="n">
        <x:v>2023</x:v>
      </x:c>
      <x:c r="C286" s="10" t="n">
        <x:v>167758</x:v>
      </x:c>
      <x:c r="D286" t="str">
        <x:v>연간 확정(가상)</x:v>
      </x:c>
      <x:c r="E286" t="str">
        <x:v>KRW 환산, 만원</x:v>
      </x:c>
      <x:c r="F286" t="str">
        <x:v>가상생성</x:v>
      </x:c>
    </x:row>
    <x:row r="287" ht="21" customHeight="1">
      <x:c r="A287" t="str">
        <x:v>EXA-0072</x:v>
      </x:c>
      <x:c r="B287" t="n">
        <x:v>2024</x:v>
      </x:c>
      <x:c r="C287" s="10" t="n">
        <x:v>196411</x:v>
      </x:c>
      <x:c r="D287" t="str">
        <x:v>연간 확정(가상)</x:v>
      </x:c>
      <x:c r="E287" t="str">
        <x:v>KRW 환산, 만원</x:v>
      </x:c>
      <x:c r="F287" t="str">
        <x:v>가상생성</x:v>
      </x:c>
    </x:row>
    <x:row r="288" ht="21" customHeight="1">
      <x:c r="A288" t="str">
        <x:v>EXA-0072</x:v>
      </x:c>
      <x:c r="B288" t="n">
        <x:v>2025</x:v>
      </x:c>
      <x:c r="C288" s="10" t="n">
        <x:v>195004</x:v>
      </x:c>
      <x:c r="D288" t="str">
        <x:v>연간 확정(가상)</x:v>
      </x:c>
      <x:c r="E288" t="str">
        <x:v>KRW 환산, 만원</x:v>
      </x:c>
      <x:c r="F288" t="str">
        <x:v>가상생성</x:v>
      </x:c>
    </x:row>
    <x:row r="289" ht="21" customHeight="1">
      <x:c r="A289" t="str">
        <x:v>EXA-0072</x:v>
      </x:c>
      <x:c r="B289" t="n">
        <x:v>2026</x:v>
      </x:c>
      <x:c r="C289" s="10" t="n">
        <x:v>119848</x:v>
      </x:c>
      <x:c r="D289" t="str">
        <x:v>1~3분기 누계</x:v>
      </x:c>
      <x:c r="E289" t="str">
        <x:v>KRW 환산, 만원</x:v>
      </x:c>
      <x:c r="F289" t="str">
        <x:v>가상생성</x:v>
      </x:c>
    </x:row>
    <x:row r="290" ht="21" customHeight="1">
      <x:c r="A290" t="str">
        <x:v>EXA-0073</x:v>
      </x:c>
      <x:c r="B290" t="n">
        <x:v>2023</x:v>
      </x:c>
      <x:c r="C290" s="10" t="n">
        <x:v>233168</x:v>
      </x:c>
      <x:c r="D290" t="str">
        <x:v>연간 확정(가상)</x:v>
      </x:c>
      <x:c r="E290" t="str">
        <x:v>KRW 환산, 만원</x:v>
      </x:c>
      <x:c r="F290" t="str">
        <x:v>가상생성</x:v>
      </x:c>
    </x:row>
    <x:row r="291" ht="21" customHeight="1">
      <x:c r="A291" t="str">
        <x:v>EXA-0073</x:v>
      </x:c>
      <x:c r="B291" t="n">
        <x:v>2024</x:v>
      </x:c>
      <x:c r="C291" s="10" t="n">
        <x:v>317383</x:v>
      </x:c>
      <x:c r="D291" t="str">
        <x:v>연간 확정(가상)</x:v>
      </x:c>
      <x:c r="E291" t="str">
        <x:v>KRW 환산, 만원</x:v>
      </x:c>
      <x:c r="F291" t="str">
        <x:v>가상생성</x:v>
      </x:c>
    </x:row>
    <x:row r="292" ht="21" customHeight="1">
      <x:c r="A292" t="str">
        <x:v>EXA-0073</x:v>
      </x:c>
      <x:c r="B292" t="n">
        <x:v>2025</x:v>
      </x:c>
      <x:c r="C292" s="10" t="n">
        <x:v>431016</x:v>
      </x:c>
      <x:c r="D292" t="str">
        <x:v>연간 확정(가상)</x:v>
      </x:c>
      <x:c r="E292" t="str">
        <x:v>KRW 환산, 만원</x:v>
      </x:c>
      <x:c r="F292" t="str">
        <x:v>가상생성</x:v>
      </x:c>
    </x:row>
    <x:row r="293" ht="21" customHeight="1">
      <x:c r="A293" t="str">
        <x:v>EXA-0073</x:v>
      </x:c>
      <x:c r="B293" t="n">
        <x:v>2026</x:v>
      </x:c>
      <x:c r="C293" s="10" t="n">
        <x:v>217264</x:v>
      </x:c>
      <x:c r="D293" t="str">
        <x:v>1~3분기 누계</x:v>
      </x:c>
      <x:c r="E293" t="str">
        <x:v>KRW 환산, 만원</x:v>
      </x:c>
      <x:c r="F293" t="str">
        <x:v>가상생성</x:v>
      </x:c>
    </x:row>
    <x:row r="294" ht="21" customHeight="1">
      <x:c r="A294" t="str">
        <x:v>EXA-0074</x:v>
      </x:c>
      <x:c r="B294" t="n">
        <x:v>2023</x:v>
      </x:c>
      <x:c r="C294" s="10" t="n">
        <x:v>82371</x:v>
      </x:c>
      <x:c r="D294" t="str">
        <x:v>연간 확정(가상)</x:v>
      </x:c>
      <x:c r="E294" t="str">
        <x:v>KRW 환산, 만원</x:v>
      </x:c>
      <x:c r="F294" t="str">
        <x:v>가상생성</x:v>
      </x:c>
    </x:row>
    <x:row r="295" ht="21" customHeight="1">
      <x:c r="A295" t="str">
        <x:v>EXA-0074</x:v>
      </x:c>
      <x:c r="B295" t="n">
        <x:v>2024</x:v>
      </x:c>
      <x:c r="C295" s="10" t="n">
        <x:v>78991</x:v>
      </x:c>
      <x:c r="D295" t="str">
        <x:v>연간 확정(가상)</x:v>
      </x:c>
      <x:c r="E295" t="str">
        <x:v>KRW 환산, 만원</x:v>
      </x:c>
      <x:c r="F295" t="str">
        <x:v>가상생성</x:v>
      </x:c>
    </x:row>
    <x:row r="296" ht="21" customHeight="1">
      <x:c r="A296" t="str">
        <x:v>EXA-0074</x:v>
      </x:c>
      <x:c r="B296" t="n">
        <x:v>2025</x:v>
      </x:c>
      <x:c r="C296" s="10" t="n">
        <x:v>68661</x:v>
      </x:c>
      <x:c r="D296" t="str">
        <x:v>연간 확정(가상)</x:v>
      </x:c>
      <x:c r="E296" t="str">
        <x:v>KRW 환산, 만원</x:v>
      </x:c>
      <x:c r="F296" t="str">
        <x:v>가상생성</x:v>
      </x:c>
    </x:row>
    <x:row r="297" ht="21" customHeight="1">
      <x:c r="A297" t="str">
        <x:v>EXA-0074</x:v>
      </x:c>
      <x:c r="B297" t="n">
        <x:v>2026</x:v>
      </x:c>
      <x:c r="C297" s="10" t="n">
        <x:v>36298</x:v>
      </x:c>
      <x:c r="D297" t="str">
        <x:v>1~3분기 누계</x:v>
      </x:c>
      <x:c r="E297" t="str">
        <x:v>KRW 환산, 만원</x:v>
      </x:c>
      <x:c r="F297" t="str">
        <x:v>가상생성</x:v>
      </x:c>
    </x:row>
    <x:row r="298" ht="21" customHeight="1">
      <x:c r="A298" t="str">
        <x:v>EXA-0075</x:v>
      </x:c>
      <x:c r="B298" t="n">
        <x:v>2023</x:v>
      </x:c>
      <x:c r="C298" s="10" t="n">
        <x:v>178127</x:v>
      </x:c>
      <x:c r="D298" t="str">
        <x:v>연간 확정(가상)</x:v>
      </x:c>
      <x:c r="E298" t="str">
        <x:v>KRW 환산, 만원</x:v>
      </x:c>
      <x:c r="F298" t="str">
        <x:v>가상생성</x:v>
      </x:c>
    </x:row>
    <x:row r="299" ht="21" customHeight="1">
      <x:c r="A299" t="str">
        <x:v>EXA-0075</x:v>
      </x:c>
      <x:c r="B299" t="n">
        <x:v>2024</x:v>
      </x:c>
      <x:c r="C299" s="10" t="n">
        <x:v>192511</x:v>
      </x:c>
      <x:c r="D299" t="str">
        <x:v>연간 확정(가상)</x:v>
      </x:c>
      <x:c r="E299" t="str">
        <x:v>KRW 환산, 만원</x:v>
      </x:c>
      <x:c r="F299" t="str">
        <x:v>가상생성</x:v>
      </x:c>
    </x:row>
    <x:row r="300" ht="21" customHeight="1">
      <x:c r="A300" t="str">
        <x:v>EXA-0075</x:v>
      </x:c>
      <x:c r="B300" t="n">
        <x:v>2025</x:v>
      </x:c>
      <x:c r="C300" s="10" t="n">
        <x:v>232116</x:v>
      </x:c>
      <x:c r="D300" t="str">
        <x:v>연간 확정(가상)</x:v>
      </x:c>
      <x:c r="E300" t="str">
        <x:v>KRW 환산, 만원</x:v>
      </x:c>
      <x:c r="F300" t="str">
        <x:v>가상생성</x:v>
      </x:c>
    </x:row>
    <x:row r="301" ht="21" customHeight="1">
      <x:c r="A301" t="str">
        <x:v>EXA-0075</x:v>
      </x:c>
      <x:c r="B301" t="n">
        <x:v>2026</x:v>
      </x:c>
      <x:c r="C301" s="10" t="n">
        <x:v>176121</x:v>
      </x:c>
      <x:c r="D301" t="str">
        <x:v>1~3분기 누계</x:v>
      </x:c>
      <x:c r="E301" t="str">
        <x:v>KRW 환산, 만원</x:v>
      </x:c>
      <x:c r="F301" t="str">
        <x:v>가상생성</x:v>
      </x:c>
    </x:row>
    <x:row r="302" ht="21" customHeight="1">
      <x:c r="A302" t="str">
        <x:v>EXA-0076</x:v>
      </x:c>
      <x:c r="B302" t="n">
        <x:v>2023</x:v>
      </x:c>
      <x:c r="C302" s="10" t="n">
        <x:v>144398</x:v>
      </x:c>
      <x:c r="D302" t="str">
        <x:v>연간 확정(가상)</x:v>
      </x:c>
      <x:c r="E302" t="str">
        <x:v>KRW 환산, 만원</x:v>
      </x:c>
      <x:c r="F302" t="str">
        <x:v>가상생성</x:v>
      </x:c>
    </x:row>
    <x:row r="303" ht="21" customHeight="1">
      <x:c r="A303" t="str">
        <x:v>EXA-0076</x:v>
      </x:c>
      <x:c r="B303" t="n">
        <x:v>2024</x:v>
      </x:c>
      <x:c r="C303" s="10" t="n">
        <x:v>188954</x:v>
      </x:c>
      <x:c r="D303" t="str">
        <x:v>연간 확정(가상)</x:v>
      </x:c>
      <x:c r="E303" t="str">
        <x:v>KRW 환산, 만원</x:v>
      </x:c>
      <x:c r="F303" t="str">
        <x:v>가상생성</x:v>
      </x:c>
    </x:row>
    <x:row r="304" ht="21" customHeight="1">
      <x:c r="A304" t="str">
        <x:v>EXA-0076</x:v>
      </x:c>
      <x:c r="B304" t="n">
        <x:v>2025</x:v>
      </x:c>
      <x:c r="C304" s="10" t="n">
        <x:v>178387</x:v>
      </x:c>
      <x:c r="D304" t="str">
        <x:v>연간 확정(가상)</x:v>
      </x:c>
      <x:c r="E304" t="str">
        <x:v>KRW 환산, 만원</x:v>
      </x:c>
      <x:c r="F304" t="str">
        <x:v>가상생성</x:v>
      </x:c>
    </x:row>
    <x:row r="305" ht="21" customHeight="1">
      <x:c r="A305" t="str">
        <x:v>EXA-0076</x:v>
      </x:c>
      <x:c r="B305" t="n">
        <x:v>2026</x:v>
      </x:c>
      <x:c r="C305" s="10" t="n">
        <x:v>118630</x:v>
      </x:c>
      <x:c r="D305" t="str">
        <x:v>1~3분기 누계</x:v>
      </x:c>
      <x:c r="E305" t="str">
        <x:v>KRW 환산, 만원</x:v>
      </x:c>
      <x:c r="F305" t="str">
        <x:v>가상생성</x:v>
      </x:c>
    </x:row>
    <x:row r="306" ht="21" customHeight="1">
      <x:c r="A306" t="str">
        <x:v>EXA-0077</x:v>
      </x:c>
      <x:c r="B306" t="n">
        <x:v>2023</x:v>
      </x:c>
      <x:c r="C306" s="10" t="n">
        <x:v>214775</x:v>
      </x:c>
      <x:c r="D306" t="str">
        <x:v>연간 확정(가상)</x:v>
      </x:c>
      <x:c r="E306" t="str">
        <x:v>KRW 환산, 만원</x:v>
      </x:c>
      <x:c r="F306" t="str">
        <x:v>가상생성</x:v>
      </x:c>
    </x:row>
    <x:row r="307" ht="21" customHeight="1">
      <x:c r="A307" t="str">
        <x:v>EXA-0077</x:v>
      </x:c>
      <x:c r="B307" t="n">
        <x:v>2024</x:v>
      </x:c>
      <x:c r="C307" s="10" t="n">
        <x:v>231936</x:v>
      </x:c>
      <x:c r="D307" t="str">
        <x:v>연간 확정(가상)</x:v>
      </x:c>
      <x:c r="E307" t="str">
        <x:v>KRW 환산, 만원</x:v>
      </x:c>
      <x:c r="F307" t="str">
        <x:v>가상생성</x:v>
      </x:c>
    </x:row>
    <x:row r="308" ht="21" customHeight="1">
      <x:c r="A308" t="str">
        <x:v>EXA-0077</x:v>
      </x:c>
      <x:c r="B308" t="n">
        <x:v>2025</x:v>
      </x:c>
      <x:c r="C308" s="10" t="n">
        <x:v>319703</x:v>
      </x:c>
      <x:c r="D308" t="str">
        <x:v>연간 확정(가상)</x:v>
      </x:c>
      <x:c r="E308" t="str">
        <x:v>KRW 환산, 만원</x:v>
      </x:c>
      <x:c r="F308" t="str">
        <x:v>가상생성</x:v>
      </x:c>
    </x:row>
    <x:row r="309" ht="21" customHeight="1">
      <x:c r="A309" t="str">
        <x:v>EXA-0077</x:v>
      </x:c>
      <x:c r="B309" t="n">
        <x:v>2026</x:v>
      </x:c>
      <x:c r="C309" s="10" t="n">
        <x:v>134603</x:v>
      </x:c>
      <x:c r="D309" t="str">
        <x:v>1~3분기 누계</x:v>
      </x:c>
      <x:c r="E309" t="str">
        <x:v>KRW 환산, 만원</x:v>
      </x:c>
      <x:c r="F309" t="str">
        <x:v>가상생성</x:v>
      </x:c>
    </x:row>
    <x:row r="310" ht="21" customHeight="1">
      <x:c r="A310" t="str">
        <x:v>EXA-0078</x:v>
      </x:c>
      <x:c r="B310" t="n">
        <x:v>2023</x:v>
      </x:c>
      <x:c r="C310" s="10" t="n">
        <x:v>5301</x:v>
      </x:c>
      <x:c r="D310" t="str">
        <x:v>연간 확정(가상)</x:v>
      </x:c>
      <x:c r="E310" t="str">
        <x:v>KRW 환산, 만원</x:v>
      </x:c>
      <x:c r="F310" t="str">
        <x:v>가상생성</x:v>
      </x:c>
    </x:row>
    <x:row r="311" ht="21" customHeight="1">
      <x:c r="A311" t="str">
        <x:v>EXA-0078</x:v>
      </x:c>
      <x:c r="B311" t="n">
        <x:v>2024</x:v>
      </x:c>
      <x:c r="C311" s="10" t="n">
        <x:v>5098</x:v>
      </x:c>
      <x:c r="D311" t="str">
        <x:v>연간 확정(가상)</x:v>
      </x:c>
      <x:c r="E311" t="str">
        <x:v>KRW 환산, 만원</x:v>
      </x:c>
      <x:c r="F311" t="str">
        <x:v>가상생성</x:v>
      </x:c>
    </x:row>
    <x:row r="312" ht="21" customHeight="1">
      <x:c r="A312" t="str">
        <x:v>EXA-0078</x:v>
      </x:c>
      <x:c r="B312" t="n">
        <x:v>2025</x:v>
      </x:c>
      <x:c r="C312" s="10" t="n">
        <x:v>7762</x:v>
      </x:c>
      <x:c r="D312" t="str">
        <x:v>연간 확정(가상)</x:v>
      </x:c>
      <x:c r="E312" t="str">
        <x:v>KRW 환산, 만원</x:v>
      </x:c>
      <x:c r="F312" t="str">
        <x:v>가상생성</x:v>
      </x:c>
    </x:row>
    <x:row r="313" ht="21" customHeight="1">
      <x:c r="A313" t="str">
        <x:v>EXA-0078</x:v>
      </x:c>
      <x:c r="B313" t="n">
        <x:v>2026</x:v>
      </x:c>
      <x:c r="C313" s="10" t="n">
        <x:v>4466</x:v>
      </x:c>
      <x:c r="D313" t="str">
        <x:v>1~3분기 누계</x:v>
      </x:c>
      <x:c r="E313" t="str">
        <x:v>KRW 환산, 만원</x:v>
      </x:c>
      <x:c r="F313" t="str">
        <x:v>가상생성</x:v>
      </x:c>
    </x:row>
    <x:row r="314" ht="21" customHeight="1">
      <x:c r="A314" t="str">
        <x:v>EXA-0079</x:v>
      </x:c>
      <x:c r="B314" t="n">
        <x:v>2023</x:v>
      </x:c>
      <x:c r="C314" s="10" t="n">
        <x:v>136418</x:v>
      </x:c>
      <x:c r="D314" t="str">
        <x:v>연간 확정(가상)</x:v>
      </x:c>
      <x:c r="E314" t="str">
        <x:v>KRW 환산, 만원</x:v>
      </x:c>
      <x:c r="F314" t="str">
        <x:v>가상생성</x:v>
      </x:c>
    </x:row>
    <x:row r="315" ht="21" customHeight="1">
      <x:c r="A315" t="str">
        <x:v>EXA-0079</x:v>
      </x:c>
      <x:c r="B315" t="n">
        <x:v>2024</x:v>
      </x:c>
      <x:c r="C315" s="10" t="n">
        <x:v>188925</x:v>
      </x:c>
      <x:c r="D315" t="str">
        <x:v>연간 확정(가상)</x:v>
      </x:c>
      <x:c r="E315" t="str">
        <x:v>KRW 환산, 만원</x:v>
      </x:c>
      <x:c r="F315" t="str">
        <x:v>가상생성</x:v>
      </x:c>
    </x:row>
    <x:row r="316" ht="21" customHeight="1">
      <x:c r="A316" t="str">
        <x:v>EXA-0079</x:v>
      </x:c>
      <x:c r="B316" t="n">
        <x:v>2025</x:v>
      </x:c>
      <x:c r="C316" s="10" t="n">
        <x:v>255680</x:v>
      </x:c>
      <x:c r="D316" t="str">
        <x:v>연간 확정(가상)</x:v>
      </x:c>
      <x:c r="E316" t="str">
        <x:v>KRW 환산, 만원</x:v>
      </x:c>
      <x:c r="F316" t="str">
        <x:v>가상생성</x:v>
      </x:c>
    </x:row>
    <x:row r="317" ht="21" customHeight="1">
      <x:c r="A317" t="str">
        <x:v>EXA-0079</x:v>
      </x:c>
      <x:c r="B317" t="n">
        <x:v>2026</x:v>
      </x:c>
      <x:c r="C317" s="10" t="n">
        <x:v>150454</x:v>
      </x:c>
      <x:c r="D317" t="str">
        <x:v>1~3분기 누계</x:v>
      </x:c>
      <x:c r="E317" t="str">
        <x:v>KRW 환산, 만원</x:v>
      </x:c>
      <x:c r="F317" t="str">
        <x:v>가상생성</x:v>
      </x:c>
    </x:row>
    <x:row r="318" ht="21" customHeight="1">
      <x:c r="A318" t="str">
        <x:v>EXA-0080</x:v>
      </x:c>
      <x:c r="B318" t="n">
        <x:v>2023</x:v>
      </x:c>
      <x:c r="C318" s="10" t="n">
        <x:v>99468</x:v>
      </x:c>
      <x:c r="D318" t="str">
        <x:v>연간 확정(가상)</x:v>
      </x:c>
      <x:c r="E318" t="str">
        <x:v>KRW 환산, 만원</x:v>
      </x:c>
      <x:c r="F318" t="str">
        <x:v>가상생성</x:v>
      </x:c>
    </x:row>
    <x:row r="319" ht="21" customHeight="1">
      <x:c r="A319" t="str">
        <x:v>EXA-0080</x:v>
      </x:c>
      <x:c r="B319" t="n">
        <x:v>2024</x:v>
      </x:c>
      <x:c r="C319" s="10" t="n">
        <x:v>138878</x:v>
      </x:c>
      <x:c r="D319" t="str">
        <x:v>연간 확정(가상)</x:v>
      </x:c>
      <x:c r="E319" t="str">
        <x:v>KRW 환산, 만원</x:v>
      </x:c>
      <x:c r="F319" t="str">
        <x:v>가상생성</x:v>
      </x:c>
    </x:row>
    <x:row r="320" ht="21" customHeight="1">
      <x:c r="A320" t="str">
        <x:v>EXA-0080</x:v>
      </x:c>
      <x:c r="B320" t="n">
        <x:v>2025</x:v>
      </x:c>
      <x:c r="C320" s="10" t="n">
        <x:v>131472</x:v>
      </x:c>
      <x:c r="D320" t="str">
        <x:v>연간 확정(가상)</x:v>
      </x:c>
      <x:c r="E320" t="str">
        <x:v>KRW 환산, 만원</x:v>
      </x:c>
      <x:c r="F320" t="str">
        <x:v>가상생성</x:v>
      </x:c>
    </x:row>
    <x:row r="321" ht="21" customHeight="1">
      <x:c r="A321" t="str">
        <x:v>EXA-0080</x:v>
      </x:c>
      <x:c r="B321" t="n">
        <x:v>2026</x:v>
      </x:c>
      <x:c r="C321" s="10" t="n">
        <x:v>71369</x:v>
      </x:c>
      <x:c r="D321" t="str">
        <x:v>1~3분기 누계</x:v>
      </x:c>
      <x:c r="E321" t="str">
        <x:v>KRW 환산, 만원</x:v>
      </x:c>
      <x:c r="F321" t="str">
        <x:v>가상생성</x:v>
      </x:c>
    </x:row>
    <x:row r="322" ht="21" customHeight="1">
      <x:c r="A322" t="str">
        <x:v>EXA-0081</x:v>
      </x:c>
      <x:c r="B322" t="n">
        <x:v>2023</x:v>
      </x:c>
      <x:c r="C322" s="10" t="n">
        <x:v>163562</x:v>
      </x:c>
      <x:c r="D322" t="str">
        <x:v>연간 확정(가상)</x:v>
      </x:c>
      <x:c r="E322" t="str">
        <x:v>KRW 환산, 만원</x:v>
      </x:c>
      <x:c r="F322" t="str">
        <x:v>가상생성</x:v>
      </x:c>
    </x:row>
    <x:row r="323" ht="21" customHeight="1">
      <x:c r="A323" t="str">
        <x:v>EXA-0081</x:v>
      </x:c>
      <x:c r="B323" t="n">
        <x:v>2024</x:v>
      </x:c>
      <x:c r="C323" s="10" t="n">
        <x:v>155591</x:v>
      </x:c>
      <x:c r="D323" t="str">
        <x:v>연간 확정(가상)</x:v>
      </x:c>
      <x:c r="E323" t="str">
        <x:v>KRW 환산, 만원</x:v>
      </x:c>
      <x:c r="F323" t="str">
        <x:v>가상생성</x:v>
      </x:c>
    </x:row>
    <x:row r="324" ht="21" customHeight="1">
      <x:c r="A324" t="str">
        <x:v>EXA-0081</x:v>
      </x:c>
      <x:c r="B324" t="n">
        <x:v>2025</x:v>
      </x:c>
      <x:c r="C324" s="10" t="n">
        <x:v>160567</x:v>
      </x:c>
      <x:c r="D324" t="str">
        <x:v>연간 확정(가상)</x:v>
      </x:c>
      <x:c r="E324" t="str">
        <x:v>KRW 환산, 만원</x:v>
      </x:c>
      <x:c r="F324" t="str">
        <x:v>가상생성</x:v>
      </x:c>
    </x:row>
    <x:row r="325" ht="21" customHeight="1">
      <x:c r="A325" t="str">
        <x:v>EXA-0081</x:v>
      </x:c>
      <x:c r="B325" t="n">
        <x:v>2026</x:v>
      </x:c>
      <x:c r="C325" s="10" t="n">
        <x:v>135306</x:v>
      </x:c>
      <x:c r="D325" t="str">
        <x:v>1~3분기 누계</x:v>
      </x:c>
      <x:c r="E325" t="str">
        <x:v>KRW 환산, 만원</x:v>
      </x:c>
      <x:c r="F325" t="str">
        <x:v>가상생성</x:v>
      </x:c>
    </x:row>
    <x:row r="326" ht="21" customHeight="1">
      <x:c r="A326" t="str">
        <x:v>EXA-0082</x:v>
      </x:c>
      <x:c r="B326" t="n">
        <x:v>2023</x:v>
      </x:c>
      <x:c r="C326" s="10" t="n">
        <x:v>44290</x:v>
      </x:c>
      <x:c r="D326" t="str">
        <x:v>연간 확정(가상)</x:v>
      </x:c>
      <x:c r="E326" t="str">
        <x:v>KRW 환산, 만원</x:v>
      </x:c>
      <x:c r="F326" t="str">
        <x:v>가상생성</x:v>
      </x:c>
    </x:row>
    <x:row r="327" ht="21" customHeight="1">
      <x:c r="A327" t="str">
        <x:v>EXA-0082</x:v>
      </x:c>
      <x:c r="B327" t="n">
        <x:v>2024</x:v>
      </x:c>
      <x:c r="C327" s="10" t="n">
        <x:v>52436</x:v>
      </x:c>
      <x:c r="D327" t="str">
        <x:v>연간 확정(가상)</x:v>
      </x:c>
      <x:c r="E327" t="str">
        <x:v>KRW 환산, 만원</x:v>
      </x:c>
      <x:c r="F327" t="str">
        <x:v>가상생성</x:v>
      </x:c>
    </x:row>
    <x:row r="328" ht="21" customHeight="1">
      <x:c r="A328" t="str">
        <x:v>EXA-0082</x:v>
      </x:c>
      <x:c r="B328" t="n">
        <x:v>2025</x:v>
      </x:c>
      <x:c r="C328" s="10" t="n">
        <x:v>71818</x:v>
      </x:c>
      <x:c r="D328" t="str">
        <x:v>연간 확정(가상)</x:v>
      </x:c>
      <x:c r="E328" t="str">
        <x:v>KRW 환산, 만원</x:v>
      </x:c>
      <x:c r="F328" t="str">
        <x:v>가상생성</x:v>
      </x:c>
    </x:row>
    <x:row r="329" ht="21" customHeight="1">
      <x:c r="A329" t="str">
        <x:v>EXA-0082</x:v>
      </x:c>
      <x:c r="B329" t="n">
        <x:v>2026</x:v>
      </x:c>
      <x:c r="C329" s="10" t="n">
        <x:v>28835</x:v>
      </x:c>
      <x:c r="D329" t="str">
        <x:v>1~3분기 누계</x:v>
      </x:c>
      <x:c r="E329" t="str">
        <x:v>KRW 환산, 만원</x:v>
      </x:c>
      <x:c r="F329" t="str">
        <x:v>가상생성</x:v>
      </x:c>
    </x:row>
    <x:row r="330" ht="21" customHeight="1">
      <x:c r="A330" t="str">
        <x:v>EXA-0083</x:v>
      </x:c>
      <x:c r="B330" t="n">
        <x:v>2023</x:v>
      </x:c>
      <x:c r="C330" s="10" t="n">
        <x:v>189780</x:v>
      </x:c>
      <x:c r="D330" t="str">
        <x:v>연간 확정(가상)</x:v>
      </x:c>
      <x:c r="E330" t="str">
        <x:v>KRW 환산, 만원</x:v>
      </x:c>
      <x:c r="F330" t="str">
        <x:v>가상생성</x:v>
      </x:c>
    </x:row>
    <x:row r="331" ht="21" customHeight="1">
      <x:c r="A331" t="str">
        <x:v>EXA-0083</x:v>
      </x:c>
      <x:c r="B331" t="n">
        <x:v>2024</x:v>
      </x:c>
      <x:c r="C331" s="10" t="n">
        <x:v>176986</x:v>
      </x:c>
      <x:c r="D331" t="str">
        <x:v>연간 확정(가상)</x:v>
      </x:c>
      <x:c r="E331" t="str">
        <x:v>KRW 환산, 만원</x:v>
      </x:c>
      <x:c r="F331" t="str">
        <x:v>가상생성</x:v>
      </x:c>
    </x:row>
    <x:row r="332" ht="21" customHeight="1">
      <x:c r="A332" t="str">
        <x:v>EXA-0083</x:v>
      </x:c>
      <x:c r="B332" t="n">
        <x:v>2025</x:v>
      </x:c>
      <x:c r="C332" s="10" t="n">
        <x:v>126396</x:v>
      </x:c>
      <x:c r="D332" t="str">
        <x:v>연간 확정(가상)</x:v>
      </x:c>
      <x:c r="E332" t="str">
        <x:v>KRW 환산, 만원</x:v>
      </x:c>
      <x:c r="F332" t="str">
        <x:v>가상생성</x:v>
      </x:c>
    </x:row>
    <x:row r="333" ht="21" customHeight="1">
      <x:c r="A333" t="str">
        <x:v>EXA-0083</x:v>
      </x:c>
      <x:c r="B333" t="n">
        <x:v>2026</x:v>
      </x:c>
      <x:c r="C333" s="10" t="n">
        <x:v>109561</x:v>
      </x:c>
      <x:c r="D333" t="str">
        <x:v>1~3분기 누계</x:v>
      </x:c>
      <x:c r="E333" t="str">
        <x:v>KRW 환산, 만원</x:v>
      </x:c>
      <x:c r="F333" t="str">
        <x:v>가상생성</x:v>
      </x:c>
    </x:row>
    <x:row r="334" ht="21" customHeight="1">
      <x:c r="A334" t="str">
        <x:v>EXA-0084</x:v>
      </x:c>
      <x:c r="B334" t="n">
        <x:v>2023</x:v>
      </x:c>
      <x:c r="C334" s="10" t="n">
        <x:v>187680</x:v>
      </x:c>
      <x:c r="D334" t="str">
        <x:v>연간 확정(가상)</x:v>
      </x:c>
      <x:c r="E334" t="str">
        <x:v>KRW 환산, 만원</x:v>
      </x:c>
      <x:c r="F334" t="str">
        <x:v>가상생성</x:v>
      </x:c>
    </x:row>
    <x:row r="335" ht="21" customHeight="1">
      <x:c r="A335" t="str">
        <x:v>EXA-0084</x:v>
      </x:c>
      <x:c r="B335" t="n">
        <x:v>2024</x:v>
      </x:c>
      <x:c r="C335" s="10" t="n">
        <x:v>185005</x:v>
      </x:c>
      <x:c r="D335" t="str">
        <x:v>연간 확정(가상)</x:v>
      </x:c>
      <x:c r="E335" t="str">
        <x:v>KRW 환산, 만원</x:v>
      </x:c>
      <x:c r="F335" t="str">
        <x:v>가상생성</x:v>
      </x:c>
    </x:row>
    <x:row r="336" ht="21" customHeight="1">
      <x:c r="A336" t="str">
        <x:v>EXA-0084</x:v>
      </x:c>
      <x:c r="B336" t="n">
        <x:v>2025</x:v>
      </x:c>
      <x:c r="C336" s="10" t="n">
        <x:v>112682</x:v>
      </x:c>
      <x:c r="D336" t="str">
        <x:v>연간 확정(가상)</x:v>
      </x:c>
      <x:c r="E336" t="str">
        <x:v>KRW 환산, 만원</x:v>
      </x:c>
      <x:c r="F336" t="str">
        <x:v>가상생성</x:v>
      </x:c>
    </x:row>
    <x:row r="337" ht="21" customHeight="1">
      <x:c r="A337" t="str">
        <x:v>EXA-0084</x:v>
      </x:c>
      <x:c r="B337" t="n">
        <x:v>2026</x:v>
      </x:c>
      <x:c r="C337" s="10" t="n">
        <x:v>95042</x:v>
      </x:c>
      <x:c r="D337" t="str">
        <x:v>1~3분기 누계</x:v>
      </x:c>
      <x:c r="E337" t="str">
        <x:v>KRW 환산, 만원</x:v>
      </x:c>
      <x:c r="F337" t="str">
        <x:v>가상생성</x:v>
      </x:c>
    </x:row>
    <x:row r="338" ht="21" customHeight="1">
      <x:c r="A338" t="str">
        <x:v>EXA-0085</x:v>
      </x:c>
      <x:c r="B338" t="n">
        <x:v>2023</x:v>
      </x:c>
      <x:c r="C338" s="10" t="n">
        <x:v>56264</x:v>
      </x:c>
      <x:c r="D338" t="str">
        <x:v>연간 확정(가상)</x:v>
      </x:c>
      <x:c r="E338" t="str">
        <x:v>KRW 환산, 만원</x:v>
      </x:c>
      <x:c r="F338" t="str">
        <x:v>가상생성</x:v>
      </x:c>
    </x:row>
    <x:row r="339" ht="21" customHeight="1">
      <x:c r="A339" t="str">
        <x:v>EXA-0085</x:v>
      </x:c>
      <x:c r="B339" t="n">
        <x:v>2024</x:v>
      </x:c>
      <x:c r="C339" s="10" t="n">
        <x:v>46686</x:v>
      </x:c>
      <x:c r="D339" t="str">
        <x:v>연간 확정(가상)</x:v>
      </x:c>
      <x:c r="E339" t="str">
        <x:v>KRW 환산, 만원</x:v>
      </x:c>
      <x:c r="F339" t="str">
        <x:v>가상생성</x:v>
      </x:c>
    </x:row>
    <x:row r="340" ht="21" customHeight="1">
      <x:c r="A340" t="str">
        <x:v>EXA-0085</x:v>
      </x:c>
      <x:c r="B340" t="n">
        <x:v>2025</x:v>
      </x:c>
      <x:c r="C340" s="10" t="n">
        <x:v>56026</x:v>
      </x:c>
      <x:c r="D340" t="str">
        <x:v>연간 확정(가상)</x:v>
      </x:c>
      <x:c r="E340" t="str">
        <x:v>KRW 환산, 만원</x:v>
      </x:c>
      <x:c r="F340" t="str">
        <x:v>가상생성</x:v>
      </x:c>
    </x:row>
    <x:row r="341" ht="21" customHeight="1">
      <x:c r="A341" t="str">
        <x:v>EXA-0085</x:v>
      </x:c>
      <x:c r="B341" t="n">
        <x:v>2026</x:v>
      </x:c>
      <x:c r="C341" s="10" t="n">
        <x:v>23542</x:v>
      </x:c>
      <x:c r="D341" t="str">
        <x:v>1~3분기 누계</x:v>
      </x:c>
      <x:c r="E341" t="str">
        <x:v>KRW 환산, 만원</x:v>
      </x:c>
      <x:c r="F341" t="str">
        <x:v>가상생성</x:v>
      </x:c>
    </x:row>
    <x:row r="342" ht="21" customHeight="1">
      <x:c r="A342" t="str">
        <x:v>EXA-0086</x:v>
      </x:c>
      <x:c r="B342" t="n">
        <x:v>2023</x:v>
      </x:c>
      <x:c r="C342" s="10" t="n">
        <x:v>289515</x:v>
      </x:c>
      <x:c r="D342" t="str">
        <x:v>연간 확정(가상)</x:v>
      </x:c>
      <x:c r="E342" t="str">
        <x:v>KRW 환산, 만원</x:v>
      </x:c>
      <x:c r="F342" t="str">
        <x:v>가상생성</x:v>
      </x:c>
    </x:row>
    <x:row r="343" ht="21" customHeight="1">
      <x:c r="A343" t="str">
        <x:v>EXA-0086</x:v>
      </x:c>
      <x:c r="B343" t="n">
        <x:v>2024</x:v>
      </x:c>
      <x:c r="C343" s="10" t="n">
        <x:v>359099</x:v>
      </x:c>
      <x:c r="D343" t="str">
        <x:v>연간 확정(가상)</x:v>
      </x:c>
      <x:c r="E343" t="str">
        <x:v>KRW 환산, 만원</x:v>
      </x:c>
      <x:c r="F343" t="str">
        <x:v>가상생성</x:v>
      </x:c>
    </x:row>
    <x:row r="344" ht="21" customHeight="1">
      <x:c r="A344" t="str">
        <x:v>EXA-0086</x:v>
      </x:c>
      <x:c r="B344" t="n">
        <x:v>2025</x:v>
      </x:c>
      <x:c r="C344" s="10" t="n">
        <x:v>449615</x:v>
      </x:c>
      <x:c r="D344" t="str">
        <x:v>연간 확정(가상)</x:v>
      </x:c>
      <x:c r="E344" t="str">
        <x:v>KRW 환산, 만원</x:v>
      </x:c>
      <x:c r="F344" t="str">
        <x:v>가상생성</x:v>
      </x:c>
    </x:row>
    <x:row r="345" ht="21" customHeight="1">
      <x:c r="A345" t="str">
        <x:v>EXA-0086</x:v>
      </x:c>
      <x:c r="B345" t="n">
        <x:v>2026</x:v>
      </x:c>
      <x:c r="C345" s="10" t="n">
        <x:v>309097</x:v>
      </x:c>
      <x:c r="D345" t="str">
        <x:v>1~3분기 누계</x:v>
      </x:c>
      <x:c r="E345" t="str">
        <x:v>KRW 환산, 만원</x:v>
      </x:c>
      <x:c r="F345" t="str">
        <x:v>가상생성</x:v>
      </x:c>
    </x:row>
    <x:row r="346" ht="21" customHeight="1">
      <x:c r="A346" t="str">
        <x:v>EXA-0087</x:v>
      </x:c>
      <x:c r="B346" t="n">
        <x:v>2023</x:v>
      </x:c>
      <x:c r="C346" s="10" t="n">
        <x:v>36020</x:v>
      </x:c>
      <x:c r="D346" t="str">
        <x:v>연간 확정(가상)</x:v>
      </x:c>
      <x:c r="E346" t="str">
        <x:v>KRW 환산, 만원</x:v>
      </x:c>
      <x:c r="F346" t="str">
        <x:v>가상생성</x:v>
      </x:c>
    </x:row>
    <x:row r="347" ht="21" customHeight="1">
      <x:c r="A347" t="str">
        <x:v>EXA-0087</x:v>
      </x:c>
      <x:c r="B347" t="n">
        <x:v>2024</x:v>
      </x:c>
      <x:c r="C347" s="10" t="n">
        <x:v>29914</x:v>
      </x:c>
      <x:c r="D347" t="str">
        <x:v>연간 확정(가상)</x:v>
      </x:c>
      <x:c r="E347" t="str">
        <x:v>KRW 환산, 만원</x:v>
      </x:c>
      <x:c r="F347" t="str">
        <x:v>가상생성</x:v>
      </x:c>
    </x:row>
    <x:row r="348" ht="21" customHeight="1">
      <x:c r="A348" t="str">
        <x:v>EXA-0087</x:v>
      </x:c>
      <x:c r="B348" t="n">
        <x:v>2025</x:v>
      </x:c>
      <x:c r="C348" s="10" t="n">
        <x:v>44257</x:v>
      </x:c>
      <x:c r="D348" t="str">
        <x:v>연간 확정(가상)</x:v>
      </x:c>
      <x:c r="E348" t="str">
        <x:v>KRW 환산, 만원</x:v>
      </x:c>
      <x:c r="F348" t="str">
        <x:v>가상생성</x:v>
      </x:c>
    </x:row>
    <x:row r="349" ht="21" customHeight="1">
      <x:c r="A349" t="str">
        <x:v>EXA-0087</x:v>
      </x:c>
      <x:c r="B349" t="n">
        <x:v>2026</x:v>
      </x:c>
      <x:c r="C349" s="10" t="n">
        <x:v>33026</x:v>
      </x:c>
      <x:c r="D349" t="str">
        <x:v>1~3분기 누계</x:v>
      </x:c>
      <x:c r="E349" t="str">
        <x:v>KRW 환산, 만원</x:v>
      </x:c>
      <x:c r="F349" t="str">
        <x:v>가상생성</x:v>
      </x:c>
    </x:row>
    <x:row r="350" ht="21" customHeight="1">
      <x:c r="A350" t="str">
        <x:v>EXA-0088</x:v>
      </x:c>
      <x:c r="B350" t="n">
        <x:v>2023</x:v>
      </x:c>
      <x:c r="C350" s="10" t="n">
        <x:v>61360</x:v>
      </x:c>
      <x:c r="D350" t="str">
        <x:v>연간 확정(가상)</x:v>
      </x:c>
      <x:c r="E350" t="str">
        <x:v>KRW 환산, 만원</x:v>
      </x:c>
      <x:c r="F350" t="str">
        <x:v>가상생성</x:v>
      </x:c>
    </x:row>
    <x:row r="351" ht="21" customHeight="1">
      <x:c r="A351" t="str">
        <x:v>EXA-0088</x:v>
      </x:c>
      <x:c r="B351" t="n">
        <x:v>2024</x:v>
      </x:c>
      <x:c r="C351" s="10" t="n">
        <x:v>73368</x:v>
      </x:c>
      <x:c r="D351" t="str">
        <x:v>연간 확정(가상)</x:v>
      </x:c>
      <x:c r="E351" t="str">
        <x:v>KRW 환산, 만원</x:v>
      </x:c>
      <x:c r="F351" t="str">
        <x:v>가상생성</x:v>
      </x:c>
    </x:row>
    <x:row r="352" ht="21" customHeight="1">
      <x:c r="A352" t="str">
        <x:v>EXA-0088</x:v>
      </x:c>
      <x:c r="B352" t="n">
        <x:v>2025</x:v>
      </x:c>
      <x:c r="C352" s="10" t="n">
        <x:v>85113</x:v>
      </x:c>
      <x:c r="D352" t="str">
        <x:v>연간 확정(가상)</x:v>
      </x:c>
      <x:c r="E352" t="str">
        <x:v>KRW 환산, 만원</x:v>
      </x:c>
      <x:c r="F352" t="str">
        <x:v>가상생성</x:v>
      </x:c>
    </x:row>
    <x:row r="353" ht="21" customHeight="1">
      <x:c r="A353" t="str">
        <x:v>EXA-0088</x:v>
      </x:c>
      <x:c r="B353" t="n">
        <x:v>2026</x:v>
      </x:c>
      <x:c r="C353" s="10" t="n">
        <x:v>49620</x:v>
      </x:c>
      <x:c r="D353" t="str">
        <x:v>1~3분기 누계</x:v>
      </x:c>
      <x:c r="E353" t="str">
        <x:v>KRW 환산, 만원</x:v>
      </x:c>
      <x:c r="F353" t="str">
        <x:v>가상생성</x:v>
      </x:c>
    </x:row>
    <x:row r="354" ht="21" customHeight="1">
      <x:c r="A354" t="str">
        <x:v>EXA-0089</x:v>
      </x:c>
      <x:c r="B354" t="n">
        <x:v>2023</x:v>
      </x:c>
      <x:c r="C354" s="10" t="n">
        <x:v>192637</x:v>
      </x:c>
      <x:c r="D354" t="str">
        <x:v>연간 확정(가상)</x:v>
      </x:c>
      <x:c r="E354" t="str">
        <x:v>KRW 환산, 만원</x:v>
      </x:c>
      <x:c r="F354" t="str">
        <x:v>가상생성</x:v>
      </x:c>
    </x:row>
    <x:row r="355" ht="21" customHeight="1">
      <x:c r="A355" t="str">
        <x:v>EXA-0089</x:v>
      </x:c>
      <x:c r="B355" t="n">
        <x:v>2024</x:v>
      </x:c>
      <x:c r="C355" s="10" t="n">
        <x:v>174606</x:v>
      </x:c>
      <x:c r="D355" t="str">
        <x:v>연간 확정(가상)</x:v>
      </x:c>
      <x:c r="E355" t="str">
        <x:v>KRW 환산, 만원</x:v>
      </x:c>
      <x:c r="F355" t="str">
        <x:v>가상생성</x:v>
      </x:c>
    </x:row>
    <x:row r="356" ht="21" customHeight="1">
      <x:c r="A356" t="str">
        <x:v>EXA-0089</x:v>
      </x:c>
      <x:c r="B356" t="n">
        <x:v>2025</x:v>
      </x:c>
      <x:c r="C356" s="10" t="n">
        <x:v>244306</x:v>
      </x:c>
      <x:c r="D356" t="str">
        <x:v>연간 확정(가상)</x:v>
      </x:c>
      <x:c r="E356" t="str">
        <x:v>KRW 환산, 만원</x:v>
      </x:c>
      <x:c r="F356" t="str">
        <x:v>가상생성</x:v>
      </x:c>
    </x:row>
    <x:row r="357" ht="21" customHeight="1">
      <x:c r="A357" t="str">
        <x:v>EXA-0089</x:v>
      </x:c>
      <x:c r="B357" t="n">
        <x:v>2026</x:v>
      </x:c>
      <x:c r="C357" s="10" t="n">
        <x:v>202719</x:v>
      </x:c>
      <x:c r="D357" t="str">
        <x:v>1~3분기 누계</x:v>
      </x:c>
      <x:c r="E357" t="str">
        <x:v>KRW 환산, 만원</x:v>
      </x:c>
      <x:c r="F357" t="str">
        <x:v>가상생성</x:v>
      </x:c>
    </x:row>
    <x:row r="358" ht="21" customHeight="1">
      <x:c r="A358" t="str">
        <x:v>EXA-0090</x:v>
      </x:c>
      <x:c r="B358" t="n">
        <x:v>2023</x:v>
      </x:c>
      <x:c r="C358" s="10" t="n">
        <x:v>29890</x:v>
      </x:c>
      <x:c r="D358" t="str">
        <x:v>연간 확정(가상)</x:v>
      </x:c>
      <x:c r="E358" t="str">
        <x:v>KRW 환산, 만원</x:v>
      </x:c>
      <x:c r="F358" t="str">
        <x:v>가상생성</x:v>
      </x:c>
    </x:row>
    <x:row r="359" ht="21" customHeight="1">
      <x:c r="A359" t="str">
        <x:v>EXA-0090</x:v>
      </x:c>
      <x:c r="B359" t="n">
        <x:v>2024</x:v>
      </x:c>
      <x:c r="C359" s="10" t="n">
        <x:v>26891</x:v>
      </x:c>
      <x:c r="D359" t="str">
        <x:v>연간 확정(가상)</x:v>
      </x:c>
      <x:c r="E359" t="str">
        <x:v>KRW 환산, 만원</x:v>
      </x:c>
      <x:c r="F359" t="str">
        <x:v>가상생성</x:v>
      </x:c>
    </x:row>
    <x:row r="360" ht="21" customHeight="1">
      <x:c r="A360" t="str">
        <x:v>EXA-0090</x:v>
      </x:c>
      <x:c r="B360" t="n">
        <x:v>2025</x:v>
      </x:c>
      <x:c r="C360" s="10" t="n">
        <x:v>43235</x:v>
      </x:c>
      <x:c r="D360" t="str">
        <x:v>연간 확정(가상)</x:v>
      </x:c>
      <x:c r="E360" t="str">
        <x:v>KRW 환산, 만원</x:v>
      </x:c>
      <x:c r="F360" t="str">
        <x:v>가상생성</x:v>
      </x:c>
    </x:row>
    <x:row r="361" ht="21" customHeight="1">
      <x:c r="A361" t="str">
        <x:v>EXA-0090</x:v>
      </x:c>
      <x:c r="B361" t="n">
        <x:v>2026</x:v>
      </x:c>
      <x:c r="C361" s="10" t="n">
        <x:v>36310</x:v>
      </x:c>
      <x:c r="D361" t="str">
        <x:v>1~3분기 누계</x:v>
      </x:c>
      <x:c r="E361" t="str">
        <x:v>KRW 환산, 만원</x:v>
      </x:c>
      <x:c r="F361" t="str">
        <x:v>가상생성</x:v>
      </x:c>
    </x:row>
    <x:row r="362" ht="21" customHeight="1">
      <x:c r="A362" t="str">
        <x:v>EXA-0091</x:v>
      </x:c>
      <x:c r="B362" t="n">
        <x:v>2023</x:v>
      </x:c>
      <x:c r="C362" s="10" t="n">
        <x:v>91173</x:v>
      </x:c>
      <x:c r="D362" t="str">
        <x:v>연간 확정(가상)</x:v>
      </x:c>
      <x:c r="E362" t="str">
        <x:v>KRW 환산, 만원</x:v>
      </x:c>
      <x:c r="F362" t="str">
        <x:v>가상생성</x:v>
      </x:c>
    </x:row>
    <x:row r="363" ht="21" customHeight="1">
      <x:c r="A363" t="str">
        <x:v>EXA-0091</x:v>
      </x:c>
      <x:c r="B363" t="n">
        <x:v>2024</x:v>
      </x:c>
      <x:c r="C363" s="10" t="n">
        <x:v>68544</x:v>
      </x:c>
      <x:c r="D363" t="str">
        <x:v>연간 확정(가상)</x:v>
      </x:c>
      <x:c r="E363" t="str">
        <x:v>KRW 환산, 만원</x:v>
      </x:c>
      <x:c r="F363" t="str">
        <x:v>가상생성</x:v>
      </x:c>
    </x:row>
    <x:row r="364" ht="21" customHeight="1">
      <x:c r="A364" t="str">
        <x:v>EXA-0091</x:v>
      </x:c>
      <x:c r="B364" t="n">
        <x:v>2025</x:v>
      </x:c>
      <x:c r="C364" s="10" t="n">
        <x:v>107356</x:v>
      </x:c>
      <x:c r="D364" t="str">
        <x:v>연간 확정(가상)</x:v>
      </x:c>
      <x:c r="E364" t="str">
        <x:v>KRW 환산, 만원</x:v>
      </x:c>
      <x:c r="F364" t="str">
        <x:v>가상생성</x:v>
      </x:c>
    </x:row>
    <x:row r="365" ht="21" customHeight="1">
      <x:c r="A365" t="str">
        <x:v>EXA-0091</x:v>
      </x:c>
      <x:c r="B365" t="n">
        <x:v>2026</x:v>
      </x:c>
      <x:c r="C365" s="10" t="n">
        <x:v>87192</x:v>
      </x:c>
      <x:c r="D365" t="str">
        <x:v>1~3분기 누계</x:v>
      </x:c>
      <x:c r="E365" t="str">
        <x:v>KRW 환산, 만원</x:v>
      </x:c>
      <x:c r="F365" t="str">
        <x:v>가상생성</x:v>
      </x:c>
    </x:row>
    <x:row r="366" ht="21" customHeight="1">
      <x:c r="A366" t="str">
        <x:v>EXA-0092</x:v>
      </x:c>
      <x:c r="B366" t="n">
        <x:v>2023</x:v>
      </x:c>
      <x:c r="C366" s="10" t="n">
        <x:v>177441</x:v>
      </x:c>
      <x:c r="D366" t="str">
        <x:v>연간 확정(가상)</x:v>
      </x:c>
      <x:c r="E366" t="str">
        <x:v>KRW 환산, 만원</x:v>
      </x:c>
      <x:c r="F366" t="str">
        <x:v>가상생성</x:v>
      </x:c>
    </x:row>
    <x:row r="367" ht="21" customHeight="1">
      <x:c r="A367" t="str">
        <x:v>EXA-0092</x:v>
      </x:c>
      <x:c r="B367" t="n">
        <x:v>2024</x:v>
      </x:c>
      <x:c r="C367" s="10" t="n">
        <x:v>246731</x:v>
      </x:c>
      <x:c r="D367" t="str">
        <x:v>연간 확정(가상)</x:v>
      </x:c>
      <x:c r="E367" t="str">
        <x:v>KRW 환산, 만원</x:v>
      </x:c>
      <x:c r="F367" t="str">
        <x:v>가상생성</x:v>
      </x:c>
    </x:row>
    <x:row r="368" ht="21" customHeight="1">
      <x:c r="A368" t="str">
        <x:v>EXA-0092</x:v>
      </x:c>
      <x:c r="B368" t="n">
        <x:v>2025</x:v>
      </x:c>
      <x:c r="C368" s="10" t="n">
        <x:v>199244</x:v>
      </x:c>
      <x:c r="D368" t="str">
        <x:v>연간 확정(가상)</x:v>
      </x:c>
      <x:c r="E368" t="str">
        <x:v>KRW 환산, 만원</x:v>
      </x:c>
      <x:c r="F368" t="str">
        <x:v>가상생성</x:v>
      </x:c>
    </x:row>
    <x:row r="369" ht="21" customHeight="1">
      <x:c r="A369" t="str">
        <x:v>EXA-0092</x:v>
      </x:c>
      <x:c r="B369" t="n">
        <x:v>2026</x:v>
      </x:c>
      <x:c r="C369" s="10" t="n">
        <x:v>89348</x:v>
      </x:c>
      <x:c r="D369" t="str">
        <x:v>1~3분기 누계</x:v>
      </x:c>
      <x:c r="E369" t="str">
        <x:v>KRW 환산, 만원</x:v>
      </x:c>
      <x:c r="F369" t="str">
        <x:v>가상생성</x:v>
      </x:c>
    </x:row>
    <x:row r="370" ht="21" customHeight="1">
      <x:c r="A370" t="str">
        <x:v>EXA-0093</x:v>
      </x:c>
      <x:c r="B370" t="n">
        <x:v>2023</x:v>
      </x:c>
      <x:c r="C370" s="10" t="n">
        <x:v>211188</x:v>
      </x:c>
      <x:c r="D370" t="str">
        <x:v>연간 확정(가상)</x:v>
      </x:c>
      <x:c r="E370" t="str">
        <x:v>KRW 환산, 만원</x:v>
      </x:c>
      <x:c r="F370" t="str">
        <x:v>가상생성</x:v>
      </x:c>
    </x:row>
    <x:row r="371" ht="21" customHeight="1">
      <x:c r="A371" t="str">
        <x:v>EXA-0093</x:v>
      </x:c>
      <x:c r="B371" t="n">
        <x:v>2024</x:v>
      </x:c>
      <x:c r="C371" s="10" t="n">
        <x:v>274095</x:v>
      </x:c>
      <x:c r="D371" t="str">
        <x:v>연간 확정(가상)</x:v>
      </x:c>
      <x:c r="E371" t="str">
        <x:v>KRW 환산, 만원</x:v>
      </x:c>
      <x:c r="F371" t="str">
        <x:v>가상생성</x:v>
      </x:c>
    </x:row>
    <x:row r="372" ht="21" customHeight="1">
      <x:c r="A372" t="str">
        <x:v>EXA-0093</x:v>
      </x:c>
      <x:c r="B372" t="n">
        <x:v>2025</x:v>
      </x:c>
      <x:c r="C372" s="10" t="n">
        <x:v>320648</x:v>
      </x:c>
      <x:c r="D372" t="str">
        <x:v>연간 확정(가상)</x:v>
      </x:c>
      <x:c r="E372" t="str">
        <x:v>KRW 환산, 만원</x:v>
      </x:c>
      <x:c r="F372" t="str">
        <x:v>가상생성</x:v>
      </x:c>
    </x:row>
    <x:row r="373" ht="21" customHeight="1">
      <x:c r="A373" t="str">
        <x:v>EXA-0093</x:v>
      </x:c>
      <x:c r="B373" t="n">
        <x:v>2026</x:v>
      </x:c>
      <x:c r="C373" s="10" t="n">
        <x:v>159811</x:v>
      </x:c>
      <x:c r="D373" t="str">
        <x:v>1~3분기 누계</x:v>
      </x:c>
      <x:c r="E373" t="str">
        <x:v>KRW 환산, 만원</x:v>
      </x:c>
      <x:c r="F373" t="str">
        <x:v>가상생성</x:v>
      </x:c>
    </x:row>
    <x:row r="374" ht="21" customHeight="1">
      <x:c r="A374" t="str">
        <x:v>EXA-0094</x:v>
      </x:c>
      <x:c r="B374" t="n">
        <x:v>2023</x:v>
      </x:c>
      <x:c r="C374" s="10" t="n">
        <x:v>248551</x:v>
      </x:c>
      <x:c r="D374" t="str">
        <x:v>연간 확정(가상)</x:v>
      </x:c>
      <x:c r="E374" t="str">
        <x:v>KRW 환산, 만원</x:v>
      </x:c>
      <x:c r="F374" t="str">
        <x:v>가상생성</x:v>
      </x:c>
    </x:row>
    <x:row r="375" ht="21" customHeight="1">
      <x:c r="A375" t="str">
        <x:v>EXA-0094</x:v>
      </x:c>
      <x:c r="B375" t="n">
        <x:v>2024</x:v>
      </x:c>
      <x:c r="C375" s="10" t="n">
        <x:v>351607</x:v>
      </x:c>
      <x:c r="D375" t="str">
        <x:v>연간 확정(가상)</x:v>
      </x:c>
      <x:c r="E375" t="str">
        <x:v>KRW 환산, 만원</x:v>
      </x:c>
      <x:c r="F375" t="str">
        <x:v>가상생성</x:v>
      </x:c>
    </x:row>
    <x:row r="376" ht="21" customHeight="1">
      <x:c r="A376" t="str">
        <x:v>EXA-0094</x:v>
      </x:c>
      <x:c r="B376" t="n">
        <x:v>2025</x:v>
      </x:c>
      <x:c r="C376" s="10" t="n">
        <x:v>298049</x:v>
      </x:c>
      <x:c r="D376" t="str">
        <x:v>연간 확정(가상)</x:v>
      </x:c>
      <x:c r="E376" t="str">
        <x:v>KRW 환산, 만원</x:v>
      </x:c>
      <x:c r="F376" t="str">
        <x:v>가상생성</x:v>
      </x:c>
    </x:row>
    <x:row r="377" ht="21" customHeight="1">
      <x:c r="A377" t="str">
        <x:v>EXA-0094</x:v>
      </x:c>
      <x:c r="B377" t="n">
        <x:v>2026</x:v>
      </x:c>
      <x:c r="C377" s="10" t="n">
        <x:v>111191</x:v>
      </x:c>
      <x:c r="D377" t="str">
        <x:v>1~3분기 누계</x:v>
      </x:c>
      <x:c r="E377" t="str">
        <x:v>KRW 환산, 만원</x:v>
      </x:c>
      <x:c r="F377" t="str">
        <x:v>가상생성</x:v>
      </x:c>
    </x:row>
    <x:row r="378" ht="21" customHeight="1">
      <x:c r="A378" t="str">
        <x:v>EXA-0095</x:v>
      </x:c>
      <x:c r="B378" t="n">
        <x:v>2023</x:v>
      </x:c>
      <x:c r="C378" s="10" t="n">
        <x:v>5999</x:v>
      </x:c>
      <x:c r="D378" t="str">
        <x:v>연간 확정(가상)</x:v>
      </x:c>
      <x:c r="E378" t="str">
        <x:v>KRW 환산, 만원</x:v>
      </x:c>
      <x:c r="F378" t="str">
        <x:v>가상생성</x:v>
      </x:c>
    </x:row>
    <x:row r="379" ht="21" customHeight="1">
      <x:c r="A379" t="str">
        <x:v>EXA-0095</x:v>
      </x:c>
      <x:c r="B379" t="n">
        <x:v>2024</x:v>
      </x:c>
      <x:c r="C379" s="10" t="n">
        <x:v>6255</x:v>
      </x:c>
      <x:c r="D379" t="str">
        <x:v>연간 확정(가상)</x:v>
      </x:c>
      <x:c r="E379" t="str">
        <x:v>KRW 환산, 만원</x:v>
      </x:c>
      <x:c r="F379" t="str">
        <x:v>가상생성</x:v>
      </x:c>
    </x:row>
    <x:row r="380" ht="21" customHeight="1">
      <x:c r="A380" t="str">
        <x:v>EXA-0095</x:v>
      </x:c>
      <x:c r="B380" t="n">
        <x:v>2025</x:v>
      </x:c>
      <x:c r="C380" s="10" t="n">
        <x:v>4776</x:v>
      </x:c>
      <x:c r="D380" t="str">
        <x:v>연간 확정(가상)</x:v>
      </x:c>
      <x:c r="E380" t="str">
        <x:v>KRW 환산, 만원</x:v>
      </x:c>
      <x:c r="F380" t="str">
        <x:v>가상생성</x:v>
      </x:c>
    </x:row>
    <x:row r="381" ht="21" customHeight="1">
      <x:c r="A381" t="str">
        <x:v>EXA-0095</x:v>
      </x:c>
      <x:c r="B381" t="n">
        <x:v>2026</x:v>
      </x:c>
      <x:c r="C381" s="10" t="n">
        <x:v>2246</x:v>
      </x:c>
      <x:c r="D381" t="str">
        <x:v>1~3분기 누계</x:v>
      </x:c>
      <x:c r="E381" t="str">
        <x:v>KRW 환산, 만원</x:v>
      </x:c>
      <x:c r="F381" t="str">
        <x:v>가상생성</x:v>
      </x:c>
    </x:row>
    <x:row r="382" ht="21" customHeight="1">
      <x:c r="A382" t="str">
        <x:v>EXA-0096</x:v>
      </x:c>
      <x:c r="B382" t="n">
        <x:v>2023</x:v>
      </x:c>
      <x:c r="C382" s="10" t="n">
        <x:v>176987</x:v>
      </x:c>
      <x:c r="D382" t="str">
        <x:v>연간 확정(가상)</x:v>
      </x:c>
      <x:c r="E382" t="str">
        <x:v>KRW 환산, 만원</x:v>
      </x:c>
      <x:c r="F382" t="str">
        <x:v>가상생성</x:v>
      </x:c>
    </x:row>
    <x:row r="383" ht="21" customHeight="1">
      <x:c r="A383" t="str">
        <x:v>EXA-0096</x:v>
      </x:c>
      <x:c r="B383" t="n">
        <x:v>2024</x:v>
      </x:c>
      <x:c r="C383" s="10" t="n">
        <x:v>161326</x:v>
      </x:c>
      <x:c r="D383" t="str">
        <x:v>연간 확정(가상)</x:v>
      </x:c>
      <x:c r="E383" t="str">
        <x:v>KRW 환산, 만원</x:v>
      </x:c>
      <x:c r="F383" t="str">
        <x:v>가상생성</x:v>
      </x:c>
    </x:row>
    <x:row r="384" ht="21" customHeight="1">
      <x:c r="A384" t="str">
        <x:v>EXA-0096</x:v>
      </x:c>
      <x:c r="B384" t="n">
        <x:v>2025</x:v>
      </x:c>
      <x:c r="C384" s="10" t="n">
        <x:v>252579</x:v>
      </x:c>
      <x:c r="D384" t="str">
        <x:v>연간 확정(가상)</x:v>
      </x:c>
      <x:c r="E384" t="str">
        <x:v>KRW 환산, 만원</x:v>
      </x:c>
      <x:c r="F384" t="str">
        <x:v>가상생성</x:v>
      </x:c>
    </x:row>
    <x:row r="385" ht="21" customHeight="1">
      <x:c r="A385" t="str">
        <x:v>EXA-0096</x:v>
      </x:c>
      <x:c r="B385" t="n">
        <x:v>2026</x:v>
      </x:c>
      <x:c r="C385" s="10" t="n">
        <x:v>114105</x:v>
      </x:c>
      <x:c r="D385" t="str">
        <x:v>1~3분기 누계</x:v>
      </x:c>
      <x:c r="E385" t="str">
        <x:v>KRW 환산, 만원</x:v>
      </x:c>
      <x:c r="F385" t="str">
        <x:v>가상생성</x:v>
      </x:c>
    </x:row>
    <x:row r="386" ht="21" customHeight="1">
      <x:c r="A386" t="str">
        <x:v>EXA-0097</x:v>
      </x:c>
      <x:c r="B386" t="n">
        <x:v>2023</x:v>
      </x:c>
      <x:c r="C386" s="10" t="n">
        <x:v>171777</x:v>
      </x:c>
      <x:c r="D386" t="str">
        <x:v>연간 확정(가상)</x:v>
      </x:c>
      <x:c r="E386" t="str">
        <x:v>KRW 환산, 만원</x:v>
      </x:c>
      <x:c r="F386" t="str">
        <x:v>가상생성</x:v>
      </x:c>
    </x:row>
    <x:row r="387" ht="21" customHeight="1">
      <x:c r="A387" t="str">
        <x:v>EXA-0097</x:v>
      </x:c>
      <x:c r="B387" t="n">
        <x:v>2024</x:v>
      </x:c>
      <x:c r="C387" s="10" t="n">
        <x:v>208488</x:v>
      </x:c>
      <x:c r="D387" t="str">
        <x:v>연간 확정(가상)</x:v>
      </x:c>
      <x:c r="E387" t="str">
        <x:v>KRW 환산, 만원</x:v>
      </x:c>
      <x:c r="F387" t="str">
        <x:v>가상생성</x:v>
      </x:c>
    </x:row>
    <x:row r="388" ht="21" customHeight="1">
      <x:c r="A388" t="str">
        <x:v>EXA-0097</x:v>
      </x:c>
      <x:c r="B388" t="n">
        <x:v>2025</x:v>
      </x:c>
      <x:c r="C388" s="10" t="n">
        <x:v>206137</x:v>
      </x:c>
      <x:c r="D388" t="str">
        <x:v>연간 확정(가상)</x:v>
      </x:c>
      <x:c r="E388" t="str">
        <x:v>KRW 환산, 만원</x:v>
      </x:c>
      <x:c r="F388" t="str">
        <x:v>가상생성</x:v>
      </x:c>
    </x:row>
    <x:row r="389" ht="21" customHeight="1">
      <x:c r="A389" t="str">
        <x:v>EXA-0097</x:v>
      </x:c>
      <x:c r="B389" t="n">
        <x:v>2026</x:v>
      </x:c>
      <x:c r="C389" s="10" t="n">
        <x:v>103856</x:v>
      </x:c>
      <x:c r="D389" t="str">
        <x:v>1~3분기 누계</x:v>
      </x:c>
      <x:c r="E389" t="str">
        <x:v>KRW 환산, 만원</x:v>
      </x:c>
      <x:c r="F389" t="str">
        <x:v>가상생성</x:v>
      </x:c>
    </x:row>
    <x:row r="390" ht="21" customHeight="1">
      <x:c r="A390" t="str">
        <x:v>EXA-0098</x:v>
      </x:c>
      <x:c r="B390" t="n">
        <x:v>2023</x:v>
      </x:c>
      <x:c r="C390" s="10" t="n">
        <x:v>249258</x:v>
      </x:c>
      <x:c r="D390" t="str">
        <x:v>연간 확정(가상)</x:v>
      </x:c>
      <x:c r="E390" t="str">
        <x:v>KRW 환산, 만원</x:v>
      </x:c>
      <x:c r="F390" t="str">
        <x:v>가상생성</x:v>
      </x:c>
    </x:row>
    <x:row r="391" ht="21" customHeight="1">
      <x:c r="A391" t="str">
        <x:v>EXA-0098</x:v>
      </x:c>
      <x:c r="B391" t="n">
        <x:v>2024</x:v>
      </x:c>
      <x:c r="C391" s="10" t="n">
        <x:v>206267</x:v>
      </x:c>
      <x:c r="D391" t="str">
        <x:v>연간 확정(가상)</x:v>
      </x:c>
      <x:c r="E391" t="str">
        <x:v>KRW 환산, 만원</x:v>
      </x:c>
      <x:c r="F391" t="str">
        <x:v>가상생성</x:v>
      </x:c>
    </x:row>
    <x:row r="392" ht="21" customHeight="1">
      <x:c r="A392" t="str">
        <x:v>EXA-0098</x:v>
      </x:c>
      <x:c r="B392" t="n">
        <x:v>2025</x:v>
      </x:c>
      <x:c r="C392" s="10" t="n">
        <x:v>171163</x:v>
      </x:c>
      <x:c r="D392" t="str">
        <x:v>연간 확정(가상)</x:v>
      </x:c>
      <x:c r="E392" t="str">
        <x:v>KRW 환산, 만원</x:v>
      </x:c>
      <x:c r="F392" t="str">
        <x:v>가상생성</x:v>
      </x:c>
    </x:row>
    <x:row r="393" ht="21" customHeight="1">
      <x:c r="A393" t="str">
        <x:v>EXA-0098</x:v>
      </x:c>
      <x:c r="B393" t="n">
        <x:v>2026</x:v>
      </x:c>
      <x:c r="C393" s="10" t="n">
        <x:v>137298</x:v>
      </x:c>
      <x:c r="D393" t="str">
        <x:v>1~3분기 누계</x:v>
      </x:c>
      <x:c r="E393" t="str">
        <x:v>KRW 환산, 만원</x:v>
      </x:c>
      <x:c r="F393" t="str">
        <x:v>가상생성</x:v>
      </x:c>
    </x:row>
    <x:row r="394" ht="21" customHeight="1">
      <x:c r="A394" t="str">
        <x:v>EXA-0099</x:v>
      </x:c>
      <x:c r="B394" t="n">
        <x:v>2023</x:v>
      </x:c>
      <x:c r="C394" s="10" t="n">
        <x:v>169187</x:v>
      </x:c>
      <x:c r="D394" t="str">
        <x:v>연간 확정(가상)</x:v>
      </x:c>
      <x:c r="E394" t="str">
        <x:v>KRW 환산, 만원</x:v>
      </x:c>
      <x:c r="F394" t="str">
        <x:v>가상생성</x:v>
      </x:c>
    </x:row>
    <x:row r="395" ht="21" customHeight="1">
      <x:c r="A395" t="str">
        <x:v>EXA-0099</x:v>
      </x:c>
      <x:c r="B395" t="n">
        <x:v>2024</x:v>
      </x:c>
      <x:c r="C395" s="10" t="n">
        <x:v>121576</x:v>
      </x:c>
      <x:c r="D395" t="str">
        <x:v>연간 확정(가상)</x:v>
      </x:c>
      <x:c r="E395" t="str">
        <x:v>KRW 환산, 만원</x:v>
      </x:c>
      <x:c r="F395" t="str">
        <x:v>가상생성</x:v>
      </x:c>
    </x:row>
    <x:row r="396" ht="21" customHeight="1">
      <x:c r="A396" t="str">
        <x:v>EXA-0099</x:v>
      </x:c>
      <x:c r="B396" t="n">
        <x:v>2025</x:v>
      </x:c>
      <x:c r="C396" s="10" t="n">
        <x:v>161304</x:v>
      </x:c>
      <x:c r="D396" t="str">
        <x:v>연간 확정(가상)</x:v>
      </x:c>
      <x:c r="E396" t="str">
        <x:v>KRW 환산, 만원</x:v>
      </x:c>
      <x:c r="F396" t="str">
        <x:v>가상생성</x:v>
      </x:c>
    </x:row>
    <x:row r="397" ht="21" customHeight="1">
      <x:c r="A397" t="str">
        <x:v>EXA-0099</x:v>
      </x:c>
      <x:c r="B397" t="n">
        <x:v>2026</x:v>
      </x:c>
      <x:c r="C397" s="10" t="n">
        <x:v>61542</x:v>
      </x:c>
      <x:c r="D397" t="str">
        <x:v>1~3분기 누계</x:v>
      </x:c>
      <x:c r="E397" t="str">
        <x:v>KRW 환산, 만원</x:v>
      </x:c>
      <x:c r="F397" t="str">
        <x:v>가상생성</x:v>
      </x:c>
    </x:row>
    <x:row r="398" ht="21" customHeight="1">
      <x:c r="A398" t="str">
        <x:v>EXA-0100</x:v>
      </x:c>
      <x:c r="B398" t="n">
        <x:v>2023</x:v>
      </x:c>
      <x:c r="C398" s="10" t="n">
        <x:v>55386</x:v>
      </x:c>
      <x:c r="D398" t="str">
        <x:v>연간 확정(가상)</x:v>
      </x:c>
      <x:c r="E398" t="str">
        <x:v>KRW 환산, 만원</x:v>
      </x:c>
      <x:c r="F398" t="str">
        <x:v>가상생성</x:v>
      </x:c>
    </x:row>
    <x:row r="399" ht="21" customHeight="1">
      <x:c r="A399" t="str">
        <x:v>EXA-0100</x:v>
      </x:c>
      <x:c r="B399" t="n">
        <x:v>2024</x:v>
      </x:c>
      <x:c r="C399" s="10" t="n">
        <x:v>41050</x:v>
      </x:c>
      <x:c r="D399" t="str">
        <x:v>연간 확정(가상)</x:v>
      </x:c>
      <x:c r="E399" t="str">
        <x:v>KRW 환산, 만원</x:v>
      </x:c>
      <x:c r="F399" t="str">
        <x:v>가상생성</x:v>
      </x:c>
    </x:row>
    <x:row r="400" ht="21" customHeight="1">
      <x:c r="A400" t="str">
        <x:v>EXA-0100</x:v>
      </x:c>
      <x:c r="B400" t="n">
        <x:v>2025</x:v>
      </x:c>
      <x:c r="C400" s="10" t="n">
        <x:v>24778</x:v>
      </x:c>
      <x:c r="D400" t="str">
        <x:v>연간 확정(가상)</x:v>
      </x:c>
      <x:c r="E400" t="str">
        <x:v>KRW 환산, 만원</x:v>
      </x:c>
      <x:c r="F400" t="str">
        <x:v>가상생성</x:v>
      </x:c>
    </x:row>
    <x:row r="401" ht="21" customHeight="1">
      <x:c r="A401" t="str">
        <x:v>EXA-0100</x:v>
      </x:c>
      <x:c r="B401" t="n">
        <x:v>2026</x:v>
      </x:c>
      <x:c r="C401" s="10" t="n">
        <x:v>11988</x:v>
      </x:c>
      <x:c r="D401" t="str">
        <x:v>1~3분기 누계</x:v>
      </x:c>
      <x:c r="E401" t="str">
        <x:v>KRW 환산, 만원</x:v>
      </x:c>
      <x:c r="F401" t="str">
        <x:v>가상생성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4" hidden="0" customWidth="1"/>
    <x:col min="5" max="5" width="15" hidden="0" customWidth="1"/>
    <x:col min="6" max="6" width="28" hidden="0" customWidth="1"/>
    <x:col min="7" max="7" width="16" hidden="0" customWidth="1"/>
    <x:col min="8" max="8" width="14" hidden="0" customWidth="1"/>
    <x:col min="9" max="9" width="16" hidden="0" customWidth="1"/>
  </x:cols>
  <x:sheetData>
    <x:row r="1" ht="31" customHeight="1">
      <x:c r="A1" s="4" t="str">
        <x:v>점검ID</x:v>
      </x:c>
      <x:c r="B1" s="4" t="str">
        <x:v>업체ID</x:v>
      </x:c>
      <x:c r="C1" s="4" t="str">
        <x:v>점검일</x:v>
      </x:c>
      <x:c r="D1" s="4" t="str">
        <x:v>점검구분</x:v>
      </x:c>
      <x:c r="E1" s="4" t="str">
        <x:v>결과분류</x:v>
      </x:c>
      <x:c r="F1" s="4" t="str">
        <x:v>주요결과(가상)</x:v>
      </x:c>
      <x:c r="G1" s="4" t="str">
        <x:v>후속조치</x:v>
      </x:c>
      <x:c r="H1" s="4" t="str">
        <x:v>담당자</x:v>
      </x:c>
      <x:c r="I1" s="4" t="str">
        <x:v>비고</x:v>
      </x:c>
    </x:row>
    <x:row r="2" ht="21" customHeight="1">
      <x:c r="A2" t="str">
        <x:v>CHK-0001</x:v>
      </x:c>
      <x:c r="B2" t="str">
        <x:v>EXA-0001</x:v>
      </x:c>
      <x:c r="C2" t="str">
        <x:v>2025-06-21</x:v>
      </x:c>
      <x:c r="D2" t="str">
        <x:v>정기</x:v>
      </x:c>
      <x:c r="E2" t="str">
        <x:v>없음</x:v>
      </x:c>
      <x:c r="F2" t="str">
        <x:v>특이사항 없음</x:v>
      </x:c>
      <x:c r="G2" t="str">
        <x:v>종결</x:v>
      </x:c>
      <x:c r="H2" t="str">
        <x:v>담당2</x:v>
      </x:c>
      <x:c r="I2" t="str">
        <x:v>모의 기록</x:v>
      </x:c>
    </x:row>
    <x:row r="3" ht="21" customHeight="1">
      <x:c r="A3" t="str">
        <x:v>CHK-0002</x:v>
      </x:c>
      <x:c r="B3" t="str">
        <x:v>EXA-0002</x:v>
      </x:c>
      <x:c r="C3" t="str">
        <x:v>2023-12-04</x:v>
      </x:c>
      <x:c r="D3" t="str">
        <x:v>서면</x:v>
      </x:c>
      <x:c r="E3" t="str">
        <x:v>없음</x:v>
      </x:c>
      <x:c r="F3" t="str">
        <x:v>특이사항 없음</x:v>
      </x:c>
      <x:c r="G3" t="str">
        <x:v>종결</x:v>
      </x:c>
      <x:c r="H3" t="str">
        <x:v>담당2</x:v>
      </x:c>
      <x:c r="I3" t="str">
        <x:v>모의 기록</x:v>
      </x:c>
    </x:row>
    <x:row r="4" ht="21" customHeight="1">
      <x:c r="A4" t="str">
        <x:v>CHK-0003</x:v>
      </x:c>
      <x:c r="B4" t="str">
        <x:v>EXA-0003</x:v>
      </x:c>
      <x:c r="C4" t="str">
        <x:v>2023-07-19</x:v>
      </x:c>
      <x:c r="D4" t="str">
        <x:v>서면</x:v>
      </x:c>
      <x:c r="E4" t="str">
        <x:v>경미</x:v>
      </x:c>
      <x:c r="F4" t="str">
        <x:v>경미사항 보완요청</x:v>
      </x:c>
      <x:c r="G4" t="str">
        <x:v>추가확인</x:v>
      </x:c>
      <x:c r="H4" t="str">
        <x:v>담당2</x:v>
      </x:c>
      <x:c r="I4" t="str">
        <x:v>모의 기록</x:v>
      </x:c>
    </x:row>
    <x:row r="5" ht="21" customHeight="1">
      <x:c r="A5" t="str">
        <x:v>CHK-0004</x:v>
      </x:c>
      <x:c r="B5" t="str">
        <x:v>EXA-0004</x:v>
      </x:c>
      <x:c r="C5" t="str">
        <x:v>2026-08-08</x:v>
      </x:c>
      <x:c r="D5" t="str">
        <x:v>수시</x:v>
      </x:c>
      <x:c r="E5" t="str">
        <x:v>없음</x:v>
      </x:c>
      <x:c r="F5" t="str">
        <x:v>특이사항 없음</x:v>
      </x:c>
      <x:c r="G5" t="str">
        <x:v>종결</x:v>
      </x:c>
      <x:c r="H5" t="str">
        <x:v>담당3</x:v>
      </x:c>
      <x:c r="I5" t="str">
        <x:v>모의 기록</x:v>
      </x:c>
    </x:row>
    <x:row r="6" ht="21" customHeight="1">
      <x:c r="A6" t="str">
        <x:v>CHK-0005</x:v>
      </x:c>
      <x:c r="B6" t="str">
        <x:v>EXA-0005</x:v>
      </x:c>
      <x:c r="C6" t="str">
        <x:v>2024-04-25</x:v>
      </x:c>
      <x:c r="D6" t="str">
        <x:v>정기</x:v>
      </x:c>
      <x:c r="E6" t="str">
        <x:v>경미</x:v>
      </x:c>
      <x:c r="F6" t="str">
        <x:v>경미사항 보완요청</x:v>
      </x:c>
      <x:c r="G6" t="str">
        <x:v>추가확인</x:v>
      </x:c>
      <x:c r="H6" t="str">
        <x:v>담당2</x:v>
      </x:c>
      <x:c r="I6" t="str">
        <x:v>모의 기록</x:v>
      </x:c>
    </x:row>
    <x:row r="7" ht="21" customHeight="1">
      <x:c r="A7" t="str">
        <x:v>CHK-0006</x:v>
      </x:c>
      <x:c r="B7" t="str">
        <x:v>EXA-0006</x:v>
      </x:c>
      <x:c r="C7" t="str">
        <x:v>2026-08-23</x:v>
      </x:c>
      <x:c r="D7" t="str">
        <x:v>수시</x:v>
      </x:c>
      <x:c r="E7" t="str">
        <x:v>없음</x:v>
      </x:c>
      <x:c r="F7" t="str">
        <x:v>특이사항 없음</x:v>
      </x:c>
      <x:c r="G7" t="str">
        <x:v>종결</x:v>
      </x:c>
      <x:c r="H7" t="str">
        <x:v>담당3</x:v>
      </x:c>
      <x:c r="I7" t="str">
        <x:v>모의 기록</x:v>
      </x:c>
    </x:row>
    <x:row r="8" ht="21" customHeight="1">
      <x:c r="A8" t="str">
        <x:v>CHK-0007</x:v>
      </x:c>
      <x:c r="B8" t="str">
        <x:v>EXA-0007</x:v>
      </x:c>
      <x:c r="C8" t="str">
        <x:v>2024-12-01</x:v>
      </x:c>
      <x:c r="D8" t="str">
        <x:v>정기</x:v>
      </x:c>
      <x:c r="E8" t="str">
        <x:v>없음</x:v>
      </x:c>
      <x:c r="F8" t="str">
        <x:v>특이사항 없음</x:v>
      </x:c>
      <x:c r="G8" t="str">
        <x:v>종결</x:v>
      </x:c>
      <x:c r="H8" t="str">
        <x:v>담당2</x:v>
      </x:c>
      <x:c r="I8" t="str">
        <x:v>모의 기록</x:v>
      </x:c>
    </x:row>
    <x:row r="9" ht="21" customHeight="1">
      <x:c r="A9" t="str">
        <x:v>CHK-0008</x:v>
      </x:c>
      <x:c r="B9" t="str">
        <x:v>EXA-0008</x:v>
      </x:c>
      <x:c r="C9" t="str">
        <x:v>2023-06-01</x:v>
      </x:c>
      <x:c r="D9" t="str">
        <x:v>서면</x:v>
      </x:c>
      <x:c r="E9" t="str">
        <x:v>없음</x:v>
      </x:c>
      <x:c r="F9" t="str">
        <x:v>특이사항 없음</x:v>
      </x:c>
      <x:c r="G9" t="str">
        <x:v>종결</x:v>
      </x:c>
      <x:c r="H9" t="str">
        <x:v>담당3</x:v>
      </x:c>
      <x:c r="I9" t="str">
        <x:v>모의 기록</x:v>
      </x:c>
    </x:row>
    <x:row r="10" ht="21" customHeight="1">
      <x:c r="A10" t="str">
        <x:v>CHK-0009</x:v>
      </x:c>
      <x:c r="B10" t="str">
        <x:v>EXA-0009</x:v>
      </x:c>
      <x:c r="C10" t="str">
        <x:v>2024-10-15</x:v>
      </x:c>
      <x:c r="D10" t="str">
        <x:v>서면</x:v>
      </x:c>
      <x:c r="E10" t="str">
        <x:v>없음</x:v>
      </x:c>
      <x:c r="F10" t="str">
        <x:v>특이사항 없음</x:v>
      </x:c>
      <x:c r="G10" t="str">
        <x:v>종결</x:v>
      </x:c>
      <x:c r="H10" t="str">
        <x:v>담당3</x:v>
      </x:c>
      <x:c r="I10" t="str">
        <x:v>모의 기록</x:v>
      </x:c>
    </x:row>
    <x:row r="11" ht="21" customHeight="1">
      <x:c r="A11" t="str">
        <x:v>CHK-0010</x:v>
      </x:c>
      <x:c r="B11" t="str">
        <x:v>EXA-0010</x:v>
      </x:c>
      <x:c r="C11" t="str">
        <x:v>2023-12-02</x:v>
      </x:c>
      <x:c r="D11" t="str">
        <x:v>서면</x:v>
      </x:c>
      <x:c r="E11" t="str">
        <x:v>없음</x:v>
      </x:c>
      <x:c r="F11" t="str">
        <x:v>특이사항 없음</x:v>
      </x:c>
      <x:c r="G11" t="str">
        <x:v>종결</x:v>
      </x:c>
      <x:c r="H11" t="str">
        <x:v>담당4</x:v>
      </x:c>
      <x:c r="I11" t="str">
        <x:v>모의 기록</x:v>
      </x:c>
    </x:row>
    <x:row r="12" ht="21" customHeight="1">
      <x:c r="A12" t="str">
        <x:v>CHK-0011</x:v>
      </x:c>
      <x:c r="B12" t="str">
        <x:v>EXA-0011</x:v>
      </x:c>
      <x:c r="C12" t="str">
        <x:v>2024-12-19</x:v>
      </x:c>
      <x:c r="D12" t="str">
        <x:v>수시</x:v>
      </x:c>
      <x:c r="E12" t="str">
        <x:v>없음</x:v>
      </x:c>
      <x:c r="F12" t="str">
        <x:v>특이사항 없음</x:v>
      </x:c>
      <x:c r="G12" t="str">
        <x:v>종결</x:v>
      </x:c>
      <x:c r="H12" t="str">
        <x:v>담당2</x:v>
      </x:c>
      <x:c r="I12" t="str">
        <x:v>모의 기록</x:v>
      </x:c>
    </x:row>
    <x:row r="13" ht="21" customHeight="1">
      <x:c r="A13" t="str">
        <x:v>CHK-0012</x:v>
      </x:c>
      <x:c r="B13" t="str">
        <x:v>EXA-0012</x:v>
      </x:c>
      <x:c r="C13" t="str">
        <x:v>2025-03-29</x:v>
      </x:c>
      <x:c r="D13" t="str">
        <x:v>수시</x:v>
      </x:c>
      <x:c r="E13" t="str">
        <x:v>없음</x:v>
      </x:c>
      <x:c r="F13" t="str">
        <x:v>특이사항 없음</x:v>
      </x:c>
      <x:c r="G13" t="str">
        <x:v>종결</x:v>
      </x:c>
      <x:c r="H13" t="str">
        <x:v>담당4</x:v>
      </x:c>
      <x:c r="I13" t="str">
        <x:v>모의 기록</x:v>
      </x:c>
    </x:row>
    <x:row r="14" ht="21" customHeight="1">
      <x:c r="A14" t="str">
        <x:v>CHK-0013</x:v>
      </x:c>
      <x:c r="B14" t="str">
        <x:v>EXA-0013</x:v>
      </x:c>
      <x:c r="C14" t="str">
        <x:v>2026-05-10</x:v>
      </x:c>
      <x:c r="D14" t="str">
        <x:v>정기</x:v>
      </x:c>
      <x:c r="E14" t="str">
        <x:v>없음</x:v>
      </x:c>
      <x:c r="F14" t="str">
        <x:v>특이사항 없음</x:v>
      </x:c>
      <x:c r="G14" t="str">
        <x:v>종결</x:v>
      </x:c>
      <x:c r="H14" t="str">
        <x:v>담당2</x:v>
      </x:c>
      <x:c r="I14" t="str">
        <x:v>모의 기록</x:v>
      </x:c>
    </x:row>
    <x:row r="15" ht="21" customHeight="1">
      <x:c r="A15" t="str">
        <x:v>CHK-0014</x:v>
      </x:c>
      <x:c r="B15" t="str">
        <x:v>EXA-0014</x:v>
      </x:c>
      <x:c r="C15" t="str">
        <x:v>2025-04-10</x:v>
      </x:c>
      <x:c r="D15" t="str">
        <x:v>수시</x:v>
      </x:c>
      <x:c r="E15" t="str">
        <x:v>없음</x:v>
      </x:c>
      <x:c r="F15" t="str">
        <x:v>특이사항 없음</x:v>
      </x:c>
      <x:c r="G15" t="str">
        <x:v>종결</x:v>
      </x:c>
      <x:c r="H15" t="str">
        <x:v>담당3</x:v>
      </x:c>
      <x:c r="I15" t="str">
        <x:v>모의 기록</x:v>
      </x:c>
    </x:row>
    <x:row r="16" ht="21" customHeight="1">
      <x:c r="A16" t="str">
        <x:v>CHK-0015</x:v>
      </x:c>
      <x:c r="B16" t="str">
        <x:v>EXA-0015</x:v>
      </x:c>
      <x:c r="C16" t="str">
        <x:v>2025-01-12</x:v>
      </x:c>
      <x:c r="D16" t="str">
        <x:v>수시</x:v>
      </x:c>
      <x:c r="E16" t="str">
        <x:v>없음</x:v>
      </x:c>
      <x:c r="F16" t="str">
        <x:v>특이사항 없음</x:v>
      </x:c>
      <x:c r="G16" t="str">
        <x:v>종결</x:v>
      </x:c>
      <x:c r="H16" t="str">
        <x:v>담당2</x:v>
      </x:c>
      <x:c r="I16" t="str">
        <x:v>모의 기록</x:v>
      </x:c>
    </x:row>
    <x:row r="17" ht="21" customHeight="1">
      <x:c r="A17" t="str">
        <x:v>CHK-0016</x:v>
      </x:c>
      <x:c r="B17" t="str">
        <x:v>EXA-0016</x:v>
      </x:c>
      <x:c r="C17" t="str">
        <x:v>2023-08-28</x:v>
      </x:c>
      <x:c r="D17" t="str">
        <x:v>서면</x:v>
      </x:c>
      <x:c r="E17" t="str">
        <x:v>없음</x:v>
      </x:c>
      <x:c r="F17" t="str">
        <x:v>특이사항 없음</x:v>
      </x:c>
      <x:c r="G17" t="str">
        <x:v>종결</x:v>
      </x:c>
      <x:c r="H17" t="str">
        <x:v>담당2</x:v>
      </x:c>
      <x:c r="I17" t="str">
        <x:v>모의 기록</x:v>
      </x:c>
    </x:row>
    <x:row r="18" ht="21" customHeight="1">
      <x:c r="A18" t="str">
        <x:v>CHK-0017</x:v>
      </x:c>
      <x:c r="B18" t="str">
        <x:v>EXA-0017</x:v>
      </x:c>
      <x:c r="C18" t="str">
        <x:v>2021-07-15</x:v>
      </x:c>
      <x:c r="D18" t="str">
        <x:v>정기</x:v>
      </x:c>
      <x:c r="E18" t="str">
        <x:v>경미</x:v>
      </x:c>
      <x:c r="F18" t="str">
        <x:v>경미사항 보완요청</x:v>
      </x:c>
      <x:c r="G18" t="str">
        <x:v>추가확인</x:v>
      </x:c>
      <x:c r="H18" t="str">
        <x:v>담당2</x:v>
      </x:c>
      <x:c r="I18" t="str">
        <x:v>모의 기록</x:v>
      </x:c>
    </x:row>
    <x:row r="19" ht="21" customHeight="1">
      <x:c r="A19" t="str">
        <x:v>CHK-0018</x:v>
      </x:c>
      <x:c r="B19" t="str">
        <x:v>EXA-0018</x:v>
      </x:c>
      <x:c r="C19" t="str">
        <x:v>2021-01-07</x:v>
      </x:c>
      <x:c r="D19" t="str">
        <x:v>정기</x:v>
      </x:c>
      <x:c r="E19" t="str">
        <x:v>없음</x:v>
      </x:c>
      <x:c r="F19" t="str">
        <x:v>특이사항 없음</x:v>
      </x:c>
      <x:c r="G19" t="str">
        <x:v>종결</x:v>
      </x:c>
      <x:c r="H19" t="str">
        <x:v>담당2</x:v>
      </x:c>
      <x:c r="I19" t="str">
        <x:v>모의 기록</x:v>
      </x:c>
    </x:row>
    <x:row r="20" ht="21" customHeight="1">
      <x:c r="A20" t="str">
        <x:v>CHK-0019</x:v>
      </x:c>
      <x:c r="B20" t="str">
        <x:v>EXA-0019</x:v>
      </x:c>
      <x:c r="C20" t="str">
        <x:v>2022-02-26</x:v>
      </x:c>
      <x:c r="D20" t="str">
        <x:v>정기</x:v>
      </x:c>
      <x:c r="E20" t="str">
        <x:v>없음</x:v>
      </x:c>
      <x:c r="F20" t="str">
        <x:v>특이사항 없음</x:v>
      </x:c>
      <x:c r="G20" t="str">
        <x:v>종결</x:v>
      </x:c>
      <x:c r="H20" t="str">
        <x:v>담당1</x:v>
      </x:c>
      <x:c r="I20" t="str">
        <x:v>모의 기록</x:v>
      </x:c>
    </x:row>
    <x:row r="21" ht="21" customHeight="1">
      <x:c r="A21" t="str">
        <x:v>CHK-0020</x:v>
      </x:c>
      <x:c r="B21" t="str">
        <x:v>EXA-0020</x:v>
      </x:c>
      <x:c r="C21" t="str">
        <x:v>2025-05-23</x:v>
      </x:c>
      <x:c r="D21" t="str">
        <x:v>수시</x:v>
      </x:c>
      <x:c r="E21" t="str">
        <x:v>없음</x:v>
      </x:c>
      <x:c r="F21" t="str">
        <x:v>특이사항 없음</x:v>
      </x:c>
      <x:c r="G21" t="str">
        <x:v>종결</x:v>
      </x:c>
      <x:c r="H21" t="str">
        <x:v>담당2</x:v>
      </x:c>
      <x:c r="I21" t="str">
        <x:v>모의 기록</x:v>
      </x:c>
    </x:row>
    <x:row r="22" ht="21" customHeight="1">
      <x:c r="A22" t="str">
        <x:v>CHK-0021</x:v>
      </x:c>
      <x:c r="B22" t="str">
        <x:v>EXA-0021</x:v>
      </x:c>
      <x:c r="C22" t="str">
        <x:v>2022-10-12</x:v>
      </x:c>
      <x:c r="D22" t="str">
        <x:v>수시</x:v>
      </x:c>
      <x:c r="E22" t="str">
        <x:v>경미</x:v>
      </x:c>
      <x:c r="F22" t="str">
        <x:v>경미사항 보완요청</x:v>
      </x:c>
      <x:c r="G22" t="str">
        <x:v>추가확인</x:v>
      </x:c>
      <x:c r="H22" t="str">
        <x:v>담당1</x:v>
      </x:c>
      <x:c r="I22" t="str">
        <x:v>모의 기록</x:v>
      </x:c>
    </x:row>
    <x:row r="23" ht="21" customHeight="1">
      <x:c r="A23" t="str">
        <x:v>CHK-0022</x:v>
      </x:c>
      <x:c r="B23" t="str">
        <x:v>EXA-0022</x:v>
      </x:c>
      <x:c r="C23" t="str">
        <x:v>2023-03-03</x:v>
      </x:c>
      <x:c r="D23" t="str">
        <x:v>수시</x:v>
      </x:c>
      <x:c r="E23" t="str">
        <x:v>없음</x:v>
      </x:c>
      <x:c r="F23" t="str">
        <x:v>특이사항 없음</x:v>
      </x:c>
      <x:c r="G23" t="str">
        <x:v>종결</x:v>
      </x:c>
      <x:c r="H23" t="str">
        <x:v>담당2</x:v>
      </x:c>
      <x:c r="I23" t="str">
        <x:v>모의 기록</x:v>
      </x:c>
    </x:row>
    <x:row r="24" ht="21" customHeight="1">
      <x:c r="A24" t="str">
        <x:v>CHK-0023</x:v>
      </x:c>
      <x:c r="B24" t="str">
        <x:v>EXA-0023</x:v>
      </x:c>
      <x:c r="C24" t="str">
        <x:v>2024-10-24</x:v>
      </x:c>
      <x:c r="D24" t="str">
        <x:v>정기</x:v>
      </x:c>
      <x:c r="E24" t="str">
        <x:v>경미</x:v>
      </x:c>
      <x:c r="F24" t="str">
        <x:v>경미사항 보완요청</x:v>
      </x:c>
      <x:c r="G24" t="str">
        <x:v>추가확인</x:v>
      </x:c>
      <x:c r="H24" t="str">
        <x:v>담당3</x:v>
      </x:c>
      <x:c r="I24" t="str">
        <x:v>모의 기록</x:v>
      </x:c>
    </x:row>
    <x:row r="25" ht="21" customHeight="1">
      <x:c r="A25" t="str">
        <x:v>CHK-0024</x:v>
      </x:c>
      <x:c r="B25" t="str">
        <x:v>EXA-0024</x:v>
      </x:c>
      <x:c r="C25" t="str">
        <x:v>2026-05-21</x:v>
      </x:c>
      <x:c r="D25" t="str">
        <x:v>서면</x:v>
      </x:c>
      <x:c r="E25" t="str">
        <x:v>없음</x:v>
      </x:c>
      <x:c r="F25" t="str">
        <x:v>특이사항 없음</x:v>
      </x:c>
      <x:c r="G25" t="str">
        <x:v>종결</x:v>
      </x:c>
      <x:c r="H25" t="str">
        <x:v>담당2</x:v>
      </x:c>
      <x:c r="I25" t="str">
        <x:v>모의 기록</x:v>
      </x:c>
    </x:row>
    <x:row r="26" ht="21" customHeight="1">
      <x:c r="A26" t="str">
        <x:v>CHK-0025</x:v>
      </x:c>
      <x:c r="B26" t="str">
        <x:v>EXA-0025</x:v>
      </x:c>
      <x:c r="C26" t="str">
        <x:v>2021-08-16</x:v>
      </x:c>
      <x:c r="D26" t="str">
        <x:v>정기</x:v>
      </x:c>
      <x:c r="E26" t="str">
        <x:v>중대</x:v>
      </x:c>
      <x:c r="F26" t="str">
        <x:v>추가 검토 필요</x:v>
      </x:c>
      <x:c r="G26" t="str">
        <x:v>보완완료</x:v>
      </x:c>
      <x:c r="H26" t="str">
        <x:v>담당4</x:v>
      </x:c>
      <x:c r="I26" t="str">
        <x:v>모의 기록</x:v>
      </x:c>
    </x:row>
    <x:row r="27" ht="21" customHeight="1">
      <x:c r="A27" t="str">
        <x:v>CHK-0026</x:v>
      </x:c>
      <x:c r="B27" t="str">
        <x:v>EXA-0026</x:v>
      </x:c>
      <x:c r="C27" t="str">
        <x:v>2026-08-20</x:v>
      </x:c>
      <x:c r="D27" t="str">
        <x:v>정기</x:v>
      </x:c>
      <x:c r="E27" t="str">
        <x:v>없음</x:v>
      </x:c>
      <x:c r="F27" t="str">
        <x:v>특이사항 없음</x:v>
      </x:c>
      <x:c r="G27" t="str">
        <x:v>종결</x:v>
      </x:c>
      <x:c r="H27" t="str">
        <x:v>담당2</x:v>
      </x:c>
      <x:c r="I27" t="str">
        <x:v>모의 기록</x:v>
      </x:c>
    </x:row>
    <x:row r="28" ht="21" customHeight="1">
      <x:c r="A28" t="str">
        <x:v>CHK-0027</x:v>
      </x:c>
      <x:c r="B28" t="str">
        <x:v>EXA-0027</x:v>
      </x:c>
      <x:c r="C28" t="str">
        <x:v>2023-02-10</x:v>
      </x:c>
      <x:c r="D28" t="str">
        <x:v>정기</x:v>
      </x:c>
      <x:c r="E28" t="str">
        <x:v>경미</x:v>
      </x:c>
      <x:c r="F28" t="str">
        <x:v>경미사항 보완요청</x:v>
      </x:c>
      <x:c r="G28" t="str">
        <x:v>보완완료</x:v>
      </x:c>
      <x:c r="H28" t="str">
        <x:v>담당1</x:v>
      </x:c>
      <x:c r="I28" t="str">
        <x:v>모의 기록</x:v>
      </x:c>
    </x:row>
    <x:row r="29" ht="21" customHeight="1">
      <x:c r="A29" t="str">
        <x:v>CHK-0028</x:v>
      </x:c>
      <x:c r="B29" t="str">
        <x:v>EXA-0028</x:v>
      </x:c>
      <x:c r="C29" t="str">
        <x:v>2024-01-30</x:v>
      </x:c>
      <x:c r="D29" t="str">
        <x:v>정기</x:v>
      </x:c>
      <x:c r="E29" t="str">
        <x:v>없음</x:v>
      </x:c>
      <x:c r="F29" t="str">
        <x:v>특이사항 없음</x:v>
      </x:c>
      <x:c r="G29" t="str">
        <x:v>종결</x:v>
      </x:c>
      <x:c r="H29" t="str">
        <x:v>담당1</x:v>
      </x:c>
      <x:c r="I29" t="str">
        <x:v>모의 기록</x:v>
      </x:c>
    </x:row>
    <x:row r="30" ht="21" customHeight="1">
      <x:c r="A30" t="str">
        <x:v>CHK-0029</x:v>
      </x:c>
      <x:c r="B30" t="str">
        <x:v>EXA-0029</x:v>
      </x:c>
      <x:c r="C30" t="str">
        <x:v>2021-08-19</x:v>
      </x:c>
      <x:c r="D30" t="str">
        <x:v>수시</x:v>
      </x:c>
      <x:c r="E30" t="str">
        <x:v>없음</x:v>
      </x:c>
      <x:c r="F30" t="str">
        <x:v>특이사항 없음</x:v>
      </x:c>
      <x:c r="G30" t="str">
        <x:v>종결</x:v>
      </x:c>
      <x:c r="H30" t="str">
        <x:v>담당4</x:v>
      </x:c>
      <x:c r="I30" t="str">
        <x:v>모의 기록</x:v>
      </x:c>
    </x:row>
    <x:row r="31" ht="21" customHeight="1">
      <x:c r="A31" t="str">
        <x:v>CHK-0030</x:v>
      </x:c>
      <x:c r="B31" t="str">
        <x:v>EXA-0030</x:v>
      </x:c>
      <x:c r="C31" t="str">
        <x:v>2022-09-26</x:v>
      </x:c>
      <x:c r="D31" t="str">
        <x:v>정기</x:v>
      </x:c>
      <x:c r="E31" t="str">
        <x:v>없음</x:v>
      </x:c>
      <x:c r="F31" t="str">
        <x:v>특이사항 없음</x:v>
      </x:c>
      <x:c r="G31" t="str">
        <x:v>종결</x:v>
      </x:c>
      <x:c r="H31" t="str">
        <x:v>담당3</x:v>
      </x:c>
      <x:c r="I31" t="str">
        <x:v>모의 기록</x:v>
      </x:c>
    </x:row>
    <x:row r="32" ht="21" customHeight="1">
      <x:c r="A32" t="str">
        <x:v>CHK-0031</x:v>
      </x:c>
      <x:c r="B32" t="str">
        <x:v>EXA-0031</x:v>
      </x:c>
      <x:c r="C32" t="str">
        <x:v>2025-01-06</x:v>
      </x:c>
      <x:c r="D32" t="str">
        <x:v>수시</x:v>
      </x:c>
      <x:c r="E32" t="str">
        <x:v>중대</x:v>
      </x:c>
      <x:c r="F32" t="str">
        <x:v>추가 검토 필요</x:v>
      </x:c>
      <x:c r="G32" t="str">
        <x:v>보완완료</x:v>
      </x:c>
      <x:c r="H32" t="str">
        <x:v>담당1</x:v>
      </x:c>
      <x:c r="I32" t="str">
        <x:v>모의 기록</x:v>
      </x:c>
    </x:row>
    <x:row r="33" ht="21" customHeight="1">
      <x:c r="A33" t="str">
        <x:v>CHK-0032</x:v>
      </x:c>
      <x:c r="B33" t="str">
        <x:v>EXA-0032</x:v>
      </x:c>
      <x:c r="C33" t="str">
        <x:v>2023-05-18</x:v>
      </x:c>
      <x:c r="D33" t="str">
        <x:v>수시</x:v>
      </x:c>
      <x:c r="E33" t="str">
        <x:v>경미</x:v>
      </x:c>
      <x:c r="F33" t="str">
        <x:v>경미사항 보완요청</x:v>
      </x:c>
      <x:c r="G33" t="str">
        <x:v>보완완료</x:v>
      </x:c>
      <x:c r="H33" t="str">
        <x:v>담당2</x:v>
      </x:c>
      <x:c r="I33" t="str">
        <x:v>모의 기록</x:v>
      </x:c>
    </x:row>
    <x:row r="34" ht="21" customHeight="1">
      <x:c r="A34" t="str">
        <x:v>CHK-0033</x:v>
      </x:c>
      <x:c r="B34" t="str">
        <x:v>EXA-0033</x:v>
      </x:c>
      <x:c r="C34" t="str">
        <x:v>2023-09-12</x:v>
      </x:c>
      <x:c r="D34" t="str">
        <x:v>서면</x:v>
      </x:c>
      <x:c r="E34" t="str">
        <x:v>경미</x:v>
      </x:c>
      <x:c r="F34" t="str">
        <x:v>경미사항 보완요청</x:v>
      </x:c>
      <x:c r="G34" t="str">
        <x:v>추가확인</x:v>
      </x:c>
      <x:c r="H34" t="str">
        <x:v>담당4</x:v>
      </x:c>
      <x:c r="I34" t="str">
        <x:v>모의 기록</x:v>
      </x:c>
    </x:row>
    <x:row r="35" ht="21" customHeight="1">
      <x:c r="A35" t="str">
        <x:v>CHK-0034</x:v>
      </x:c>
      <x:c r="B35" t="str">
        <x:v>EXA-0034</x:v>
      </x:c>
      <x:c r="C35" t="str">
        <x:v>2021-06-29</x:v>
      </x:c>
      <x:c r="D35" t="str">
        <x:v>수시</x:v>
      </x:c>
      <x:c r="E35" t="str">
        <x:v>없음</x:v>
      </x:c>
      <x:c r="F35" t="str">
        <x:v>특이사항 없음</x:v>
      </x:c>
      <x:c r="G35" t="str">
        <x:v>종결</x:v>
      </x:c>
      <x:c r="H35" t="str">
        <x:v>담당3</x:v>
      </x:c>
      <x:c r="I35" t="str">
        <x:v>모의 기록</x:v>
      </x:c>
    </x:row>
    <x:row r="36" ht="21" customHeight="1">
      <x:c r="A36" t="str">
        <x:v>CHK-0035</x:v>
      </x:c>
      <x:c r="B36" t="str">
        <x:v>EXA-0035</x:v>
      </x:c>
      <x:c r="C36" t="str">
        <x:v>2022-01-04</x:v>
      </x:c>
      <x:c r="D36" t="str">
        <x:v>정기</x:v>
      </x:c>
      <x:c r="E36" t="str">
        <x:v>없음</x:v>
      </x:c>
      <x:c r="F36" t="str">
        <x:v>특이사항 없음</x:v>
      </x:c>
      <x:c r="G36" t="str">
        <x:v>종결</x:v>
      </x:c>
      <x:c r="H36" t="str">
        <x:v>담당4</x:v>
      </x:c>
      <x:c r="I36" t="str">
        <x:v>모의 기록</x:v>
      </x:c>
    </x:row>
    <x:row r="37" ht="21" customHeight="1">
      <x:c r="A37" t="str">
        <x:v>CHK-0036</x:v>
      </x:c>
      <x:c r="B37" t="str">
        <x:v>EXA-0036</x:v>
      </x:c>
      <x:c r="C37" t="str">
        <x:v>2021-10-15</x:v>
      </x:c>
      <x:c r="D37" t="str">
        <x:v>수시</x:v>
      </x:c>
      <x:c r="E37" t="str">
        <x:v>없음</x:v>
      </x:c>
      <x:c r="F37" t="str">
        <x:v>특이사항 없음</x:v>
      </x:c>
      <x:c r="G37" t="str">
        <x:v>종결</x:v>
      </x:c>
      <x:c r="H37" t="str">
        <x:v>담당3</x:v>
      </x:c>
      <x:c r="I37" t="str">
        <x:v>모의 기록</x:v>
      </x:c>
    </x:row>
    <x:row r="38" ht="21" customHeight="1">
      <x:c r="A38" t="str">
        <x:v>CHK-0037</x:v>
      </x:c>
      <x:c r="B38" t="str">
        <x:v>EXA-0037</x:v>
      </x:c>
      <x:c r="C38" t="str">
        <x:v>2025-01-31</x:v>
      </x:c>
      <x:c r="D38" t="str">
        <x:v>수시</x:v>
      </x:c>
      <x:c r="E38" t="str">
        <x:v>없음</x:v>
      </x:c>
      <x:c r="F38" t="str">
        <x:v>특이사항 없음</x:v>
      </x:c>
      <x:c r="G38" t="str">
        <x:v>종결</x:v>
      </x:c>
      <x:c r="H38" t="str">
        <x:v>담당4</x:v>
      </x:c>
      <x:c r="I38" t="str">
        <x:v>모의 기록</x:v>
      </x:c>
    </x:row>
    <x:row r="39" ht="21" customHeight="1">
      <x:c r="A39" t="str">
        <x:v>CHK-0038</x:v>
      </x:c>
      <x:c r="B39" t="str">
        <x:v>EXA-0038</x:v>
      </x:c>
      <x:c r="C39" t="str">
        <x:v>2025-07-13</x:v>
      </x:c>
      <x:c r="D39" t="str">
        <x:v>정기</x:v>
      </x:c>
      <x:c r="E39" t="str">
        <x:v>없음</x:v>
      </x:c>
      <x:c r="F39" t="str">
        <x:v>특이사항 없음</x:v>
      </x:c>
      <x:c r="G39" t="str">
        <x:v>종결</x:v>
      </x:c>
      <x:c r="H39" t="str">
        <x:v>담당2</x:v>
      </x:c>
      <x:c r="I39" t="str">
        <x:v>모의 기록</x:v>
      </x:c>
    </x:row>
    <x:row r="40" ht="21" customHeight="1">
      <x:c r="A40" t="str">
        <x:v>CHK-0039</x:v>
      </x:c>
      <x:c r="B40" t="str">
        <x:v>EXA-0039</x:v>
      </x:c>
      <x:c r="C40" t="str">
        <x:v>2021-12-29</x:v>
      </x:c>
      <x:c r="D40" t="str">
        <x:v>정기</x:v>
      </x:c>
      <x:c r="E40" t="str">
        <x:v>경미</x:v>
      </x:c>
      <x:c r="F40" t="str">
        <x:v>경미사항 보완요청</x:v>
      </x:c>
      <x:c r="G40" t="str">
        <x:v>추가확인</x:v>
      </x:c>
      <x:c r="H40" t="str">
        <x:v>담당2</x:v>
      </x:c>
      <x:c r="I40" t="str">
        <x:v>모의 기록</x:v>
      </x:c>
    </x:row>
    <x:row r="41" ht="21" customHeight="1">
      <x:c r="A41" t="str">
        <x:v>CHK-0040</x:v>
      </x:c>
      <x:c r="B41" t="str">
        <x:v>EXA-0040</x:v>
      </x:c>
      <x:c r="C41" t="str">
        <x:v>2022-11-29</x:v>
      </x:c>
      <x:c r="D41" t="str">
        <x:v>서면</x:v>
      </x:c>
      <x:c r="E41" t="str">
        <x:v>없음</x:v>
      </x:c>
      <x:c r="F41" t="str">
        <x:v>특이사항 없음</x:v>
      </x:c>
      <x:c r="G41" t="str">
        <x:v>종결</x:v>
      </x:c>
      <x:c r="H41" t="str">
        <x:v>담당3</x:v>
      </x:c>
      <x:c r="I41" t="str">
        <x:v>모의 기록</x:v>
      </x:c>
    </x:row>
    <x:row r="42" ht="21" customHeight="1">
      <x:c r="A42" t="str">
        <x:v>CHK-0041</x:v>
      </x:c>
      <x:c r="B42" t="str">
        <x:v>EXA-0041</x:v>
      </x:c>
      <x:c r="C42" t="str">
        <x:v>2023-02-21</x:v>
      </x:c>
      <x:c r="D42" t="str">
        <x:v>정기</x:v>
      </x:c>
      <x:c r="E42" t="str">
        <x:v>없음</x:v>
      </x:c>
      <x:c r="F42" t="str">
        <x:v>특이사항 없음</x:v>
      </x:c>
      <x:c r="G42" t="str">
        <x:v>종결</x:v>
      </x:c>
      <x:c r="H42" t="str">
        <x:v>담당4</x:v>
      </x:c>
      <x:c r="I42" t="str">
        <x:v>모의 기록</x:v>
      </x:c>
    </x:row>
    <x:row r="43" ht="21" customHeight="1">
      <x:c r="A43" t="str">
        <x:v>CHK-0042</x:v>
      </x:c>
      <x:c r="B43" t="str">
        <x:v>EXA-0042</x:v>
      </x:c>
      <x:c r="C43" t="str">
        <x:v>2022-10-27</x:v>
      </x:c>
      <x:c r="D43" t="str">
        <x:v>정기</x:v>
      </x:c>
      <x:c r="E43" t="str">
        <x:v>없음</x:v>
      </x:c>
      <x:c r="F43" t="str">
        <x:v>특이사항 없음</x:v>
      </x:c>
      <x:c r="G43" t="str">
        <x:v>종결</x:v>
      </x:c>
      <x:c r="H43" t="str">
        <x:v>담당3</x:v>
      </x:c>
      <x:c r="I43" t="str">
        <x:v>모의 기록</x:v>
      </x:c>
    </x:row>
    <x:row r="44" ht="21" customHeight="1">
      <x:c r="A44" t="str">
        <x:v>CHK-0043</x:v>
      </x:c>
      <x:c r="B44" t="str">
        <x:v>EXA-0043</x:v>
      </x:c>
      <x:c r="C44" t="str">
        <x:v>2025-04-16</x:v>
      </x:c>
      <x:c r="D44" t="str">
        <x:v>서면</x:v>
      </x:c>
      <x:c r="E44" t="str">
        <x:v>없음</x:v>
      </x:c>
      <x:c r="F44" t="str">
        <x:v>특이사항 없음</x:v>
      </x:c>
      <x:c r="G44" t="str">
        <x:v>종결</x:v>
      </x:c>
      <x:c r="H44" t="str">
        <x:v>담당3</x:v>
      </x:c>
      <x:c r="I44" t="str">
        <x:v>모의 기록</x:v>
      </x:c>
    </x:row>
    <x:row r="45" ht="21" customHeight="1">
      <x:c r="A45" t="str">
        <x:v>CHK-0044</x:v>
      </x:c>
      <x:c r="B45" t="str">
        <x:v>EXA-0044</x:v>
      </x:c>
      <x:c r="C45" t="str">
        <x:v>2021-07-23</x:v>
      </x:c>
      <x:c r="D45" t="str">
        <x:v>수시</x:v>
      </x:c>
      <x:c r="E45" t="str">
        <x:v>없음</x:v>
      </x:c>
      <x:c r="F45" t="str">
        <x:v>특이사항 없음</x:v>
      </x:c>
      <x:c r="G45" t="str">
        <x:v>종결</x:v>
      </x:c>
      <x:c r="H45" t="str">
        <x:v>담당3</x:v>
      </x:c>
      <x:c r="I45" t="str">
        <x:v>모의 기록</x:v>
      </x:c>
    </x:row>
    <x:row r="46" ht="21" customHeight="1">
      <x:c r="A46" t="str">
        <x:v>CHK-0045</x:v>
      </x:c>
      <x:c r="B46" t="str">
        <x:v>EXA-0045</x:v>
      </x:c>
      <x:c r="C46" t="str">
        <x:v>2023-05-06</x:v>
      </x:c>
      <x:c r="D46" t="str">
        <x:v>정기</x:v>
      </x:c>
      <x:c r="E46" t="str">
        <x:v>없음</x:v>
      </x:c>
      <x:c r="F46" t="str">
        <x:v>특이사항 없음</x:v>
      </x:c>
      <x:c r="G46" t="str">
        <x:v>종결</x:v>
      </x:c>
      <x:c r="H46" t="str">
        <x:v>담당3</x:v>
      </x:c>
      <x:c r="I46" t="str">
        <x:v>모의 기록</x:v>
      </x:c>
    </x:row>
    <x:row r="47" ht="21" customHeight="1">
      <x:c r="A47" t="str">
        <x:v>CHK-0046</x:v>
      </x:c>
      <x:c r="B47" t="str">
        <x:v>EXA-0046</x:v>
      </x:c>
      <x:c r="C47" t="str">
        <x:v>2021-07-09</x:v>
      </x:c>
      <x:c r="D47" t="str">
        <x:v>서면</x:v>
      </x:c>
      <x:c r="E47" t="str">
        <x:v>경미</x:v>
      </x:c>
      <x:c r="F47" t="str">
        <x:v>경미사항 보완요청</x:v>
      </x:c>
      <x:c r="G47" t="str">
        <x:v>조치중</x:v>
      </x:c>
      <x:c r="H47" t="str">
        <x:v>담당2</x:v>
      </x:c>
      <x:c r="I47" t="str">
        <x:v>모의 기록</x:v>
      </x:c>
    </x:row>
    <x:row r="48" ht="21" customHeight="1">
      <x:c r="A48" t="str">
        <x:v>CHK-0047</x:v>
      </x:c>
      <x:c r="B48" t="str">
        <x:v>EXA-0047</x:v>
      </x:c>
      <x:c r="C48" t="str">
        <x:v>2021-12-05</x:v>
      </x:c>
      <x:c r="D48" t="str">
        <x:v>서면</x:v>
      </x:c>
      <x:c r="E48" t="str">
        <x:v>중대</x:v>
      </x:c>
      <x:c r="F48" t="str">
        <x:v>추가 검토 필요</x:v>
      </x:c>
      <x:c r="G48" t="str">
        <x:v>조치중</x:v>
      </x:c>
      <x:c r="H48" t="str">
        <x:v>담당4</x:v>
      </x:c>
      <x:c r="I48" t="str">
        <x:v>모의 기록</x:v>
      </x:c>
    </x:row>
    <x:row r="49" ht="21" customHeight="1">
      <x:c r="A49" t="str">
        <x:v>CHK-0048</x:v>
      </x:c>
      <x:c r="B49" t="str">
        <x:v>EXA-0048</x:v>
      </x:c>
      <x:c r="C49" t="str">
        <x:v>2022-04-21</x:v>
      </x:c>
      <x:c r="D49" t="str">
        <x:v>서면</x:v>
      </x:c>
      <x:c r="E49" t="str">
        <x:v>없음</x:v>
      </x:c>
      <x:c r="F49" t="str">
        <x:v>특이사항 없음</x:v>
      </x:c>
      <x:c r="G49" t="str">
        <x:v>종결</x:v>
      </x:c>
      <x:c r="H49" t="str">
        <x:v>담당3</x:v>
      </x:c>
      <x:c r="I49" t="str">
        <x:v>모의 기록</x:v>
      </x:c>
    </x:row>
    <x:row r="50" ht="21" customHeight="1">
      <x:c r="A50" t="str">
        <x:v>CHK-0049</x:v>
      </x:c>
      <x:c r="B50" t="str">
        <x:v>EXA-0049</x:v>
      </x:c>
      <x:c r="C50" t="str">
        <x:v>2024-04-22</x:v>
      </x:c>
      <x:c r="D50" t="str">
        <x:v>정기</x:v>
      </x:c>
      <x:c r="E50" t="str">
        <x:v>경미</x:v>
      </x:c>
      <x:c r="F50" t="str">
        <x:v>경미사항 보완요청</x:v>
      </x:c>
      <x:c r="G50" t="str">
        <x:v>보완완료</x:v>
      </x:c>
      <x:c r="H50" t="str">
        <x:v>담당3</x:v>
      </x:c>
      <x:c r="I50" t="str">
        <x:v>모의 기록</x:v>
      </x:c>
    </x:row>
    <x:row r="51" ht="21" customHeight="1">
      <x:c r="A51" t="str">
        <x:v>CHK-0050</x:v>
      </x:c>
      <x:c r="B51" t="str">
        <x:v>EXA-0050</x:v>
      </x:c>
      <x:c r="C51" t="str">
        <x:v>2024-08-10</x:v>
      </x:c>
      <x:c r="D51" t="str">
        <x:v>서면</x:v>
      </x:c>
      <x:c r="E51" t="str">
        <x:v>없음</x:v>
      </x:c>
      <x:c r="F51" t="str">
        <x:v>특이사항 없음</x:v>
      </x:c>
      <x:c r="G51" t="str">
        <x:v>종결</x:v>
      </x:c>
      <x:c r="H51" t="str">
        <x:v>담당1</x:v>
      </x:c>
      <x:c r="I51" t="str">
        <x:v>모의 기록</x:v>
      </x:c>
    </x:row>
    <x:row r="52" ht="21" customHeight="1">
      <x:c r="A52" t="str">
        <x:v>CHK-0051</x:v>
      </x:c>
      <x:c r="B52" t="str">
        <x:v>EXA-0051</x:v>
      </x:c>
      <x:c r="C52" t="str">
        <x:v>2023-05-07</x:v>
      </x:c>
      <x:c r="D52" t="str">
        <x:v>정기</x:v>
      </x:c>
      <x:c r="E52" t="str">
        <x:v>없음</x:v>
      </x:c>
      <x:c r="F52" t="str">
        <x:v>특이사항 없음</x:v>
      </x:c>
      <x:c r="G52" t="str">
        <x:v>종결</x:v>
      </x:c>
      <x:c r="H52" t="str">
        <x:v>담당3</x:v>
      </x:c>
      <x:c r="I52" t="str">
        <x:v>모의 기록</x:v>
      </x:c>
    </x:row>
    <x:row r="53" ht="21" customHeight="1">
      <x:c r="A53" t="str">
        <x:v>CHK-0052</x:v>
      </x:c>
      <x:c r="B53" t="str">
        <x:v>EXA-0052</x:v>
      </x:c>
      <x:c r="C53" t="str">
        <x:v>2024-12-09</x:v>
      </x:c>
      <x:c r="D53" t="str">
        <x:v>정기</x:v>
      </x:c>
      <x:c r="E53" t="str">
        <x:v>경미</x:v>
      </x:c>
      <x:c r="F53" t="str">
        <x:v>경미사항 보완요청</x:v>
      </x:c>
      <x:c r="G53" t="str">
        <x:v>조치중</x:v>
      </x:c>
      <x:c r="H53" t="str">
        <x:v>담당2</x:v>
      </x:c>
      <x:c r="I53" t="str">
        <x:v>모의 기록</x:v>
      </x:c>
    </x:row>
    <x:row r="54" ht="21" customHeight="1">
      <x:c r="A54" t="str">
        <x:v>CHK-0053</x:v>
      </x:c>
      <x:c r="B54" t="str">
        <x:v>EXA-0053</x:v>
      </x:c>
      <x:c r="C54" t="str">
        <x:v>2021-08-26</x:v>
      </x:c>
      <x:c r="D54" t="str">
        <x:v>정기</x:v>
      </x:c>
      <x:c r="E54" t="str">
        <x:v>없음</x:v>
      </x:c>
      <x:c r="F54" t="str">
        <x:v>특이사항 없음</x:v>
      </x:c>
      <x:c r="G54" t="str">
        <x:v>종결</x:v>
      </x:c>
      <x:c r="H54" t="str">
        <x:v>담당4</x:v>
      </x:c>
      <x:c r="I54" t="str">
        <x:v>모의 기록</x:v>
      </x:c>
    </x:row>
    <x:row r="55" ht="21" customHeight="1">
      <x:c r="A55" t="str">
        <x:v>CHK-0054</x:v>
      </x:c>
      <x:c r="B55" t="str">
        <x:v>EXA-0054</x:v>
      </x:c>
      <x:c r="C55" t="str">
        <x:v>2026-01-20</x:v>
      </x:c>
      <x:c r="D55" t="str">
        <x:v>서면</x:v>
      </x:c>
      <x:c r="E55" t="str">
        <x:v>경미</x:v>
      </x:c>
      <x:c r="F55" t="str">
        <x:v>경미사항 보완요청</x:v>
      </x:c>
      <x:c r="G55" t="str">
        <x:v>보완완료</x:v>
      </x:c>
      <x:c r="H55" t="str">
        <x:v>담당4</x:v>
      </x:c>
      <x:c r="I55" t="str">
        <x:v>모의 기록</x:v>
      </x:c>
    </x:row>
    <x:row r="56" ht="21" customHeight="1">
      <x:c r="A56" t="str">
        <x:v>CHK-0055</x:v>
      </x:c>
      <x:c r="B56" t="str">
        <x:v>EXA-0055</x:v>
      </x:c>
      <x:c r="C56" t="str">
        <x:v>2021-01-18</x:v>
      </x:c>
      <x:c r="D56" t="str">
        <x:v>정기</x:v>
      </x:c>
      <x:c r="E56" t="str">
        <x:v>중대</x:v>
      </x:c>
      <x:c r="F56" t="str">
        <x:v>추가 검토 필요</x:v>
      </x:c>
      <x:c r="G56" t="str">
        <x:v>보완완료</x:v>
      </x:c>
      <x:c r="H56" t="str">
        <x:v>담당1</x:v>
      </x:c>
      <x:c r="I56" t="str">
        <x:v>모의 기록</x:v>
      </x:c>
    </x:row>
    <x:row r="57" ht="21" customHeight="1">
      <x:c r="A57" t="str">
        <x:v>CHK-0056</x:v>
      </x:c>
      <x:c r="B57" t="str">
        <x:v>EXA-0056</x:v>
      </x:c>
      <x:c r="C57" t="str">
        <x:v>2021-07-23</x:v>
      </x:c>
      <x:c r="D57" t="str">
        <x:v>수시</x:v>
      </x:c>
      <x:c r="E57" t="str">
        <x:v>없음</x:v>
      </x:c>
      <x:c r="F57" t="str">
        <x:v>특이사항 없음</x:v>
      </x:c>
      <x:c r="G57" t="str">
        <x:v>종결</x:v>
      </x:c>
      <x:c r="H57" t="str">
        <x:v>담당2</x:v>
      </x:c>
      <x:c r="I57" t="str">
        <x:v>모의 기록</x:v>
      </x:c>
    </x:row>
    <x:row r="58" ht="21" customHeight="1">
      <x:c r="A58" t="str">
        <x:v>CHK-0057</x:v>
      </x:c>
      <x:c r="B58" t="str">
        <x:v>EXA-0057</x:v>
      </x:c>
      <x:c r="C58" t="str">
        <x:v>2025-07-01</x:v>
      </x:c>
      <x:c r="D58" t="str">
        <x:v>정기</x:v>
      </x:c>
      <x:c r="E58" t="str">
        <x:v>없음</x:v>
      </x:c>
      <x:c r="F58" t="str">
        <x:v>특이사항 없음</x:v>
      </x:c>
      <x:c r="G58" t="str">
        <x:v>종결</x:v>
      </x:c>
      <x:c r="H58" t="str">
        <x:v>담당2</x:v>
      </x:c>
      <x:c r="I58" t="str">
        <x:v>모의 기록</x:v>
      </x:c>
    </x:row>
    <x:row r="59" ht="21" customHeight="1">
      <x:c r="A59" t="str">
        <x:v>CHK-0058</x:v>
      </x:c>
      <x:c r="B59" t="str">
        <x:v>EXA-0058</x:v>
      </x:c>
      <x:c r="C59" t="str">
        <x:v>2021-10-29</x:v>
      </x:c>
      <x:c r="D59" t="str">
        <x:v>서면</x:v>
      </x:c>
      <x:c r="E59" t="str">
        <x:v>없음</x:v>
      </x:c>
      <x:c r="F59" t="str">
        <x:v>특이사항 없음</x:v>
      </x:c>
      <x:c r="G59" t="str">
        <x:v>종결</x:v>
      </x:c>
      <x:c r="H59" t="str">
        <x:v>담당1</x:v>
      </x:c>
      <x:c r="I59" t="str">
        <x:v>모의 기록</x:v>
      </x:c>
    </x:row>
    <x:row r="60" ht="21" customHeight="1">
      <x:c r="A60" t="str">
        <x:v>CHK-0059</x:v>
      </x:c>
      <x:c r="B60" t="str">
        <x:v>EXA-0059</x:v>
      </x:c>
      <x:c r="C60" t="str">
        <x:v>2025-11-20</x:v>
      </x:c>
      <x:c r="D60" t="str">
        <x:v>정기</x:v>
      </x:c>
      <x:c r="E60" t="str">
        <x:v>중대</x:v>
      </x:c>
      <x:c r="F60" t="str">
        <x:v>추가 검토 필요</x:v>
      </x:c>
      <x:c r="G60" t="str">
        <x:v>추가확인</x:v>
      </x:c>
      <x:c r="H60" t="str">
        <x:v>담당2</x:v>
      </x:c>
      <x:c r="I60" t="str">
        <x:v>모의 기록</x:v>
      </x:c>
    </x:row>
    <x:row r="61" ht="21" customHeight="1">
      <x:c r="A61" t="str">
        <x:v>CHK-0060</x:v>
      </x:c>
      <x:c r="B61" t="str">
        <x:v>EXA-0060</x:v>
      </x:c>
      <x:c r="C61" t="str">
        <x:v>2025-12-08</x:v>
      </x:c>
      <x:c r="D61" t="str">
        <x:v>서면</x:v>
      </x:c>
      <x:c r="E61" t="str">
        <x:v>없음</x:v>
      </x:c>
      <x:c r="F61" t="str">
        <x:v>특이사항 없음</x:v>
      </x:c>
      <x:c r="G61" t="str">
        <x:v>종결</x:v>
      </x:c>
      <x:c r="H61" t="str">
        <x:v>담당3</x:v>
      </x:c>
      <x:c r="I61" t="str">
        <x:v>모의 기록</x:v>
      </x:c>
    </x:row>
    <x:row r="62" ht="21" customHeight="1">
      <x:c r="A62" t="str">
        <x:v>CHK-0061</x:v>
      </x:c>
      <x:c r="B62" t="str">
        <x:v>EXA-0061</x:v>
      </x:c>
      <x:c r="C62" t="str">
        <x:v>2021-05-30</x:v>
      </x:c>
      <x:c r="D62" t="str">
        <x:v>수시</x:v>
      </x:c>
      <x:c r="E62" t="str">
        <x:v>경미</x:v>
      </x:c>
      <x:c r="F62" t="str">
        <x:v>경미사항 보완요청</x:v>
      </x:c>
      <x:c r="G62" t="str">
        <x:v>보완완료</x:v>
      </x:c>
      <x:c r="H62" t="str">
        <x:v>담당1</x:v>
      </x:c>
      <x:c r="I62" t="str">
        <x:v>모의 기록</x:v>
      </x:c>
    </x:row>
    <x:row r="63" ht="21" customHeight="1">
      <x:c r="A63" t="str">
        <x:v>CHK-0062</x:v>
      </x:c>
      <x:c r="B63" t="str">
        <x:v>EXA-0062</x:v>
      </x:c>
      <x:c r="C63" t="str">
        <x:v>2025-01-04</x:v>
      </x:c>
      <x:c r="D63" t="str">
        <x:v>정기</x:v>
      </x:c>
      <x:c r="E63" t="str">
        <x:v>없음</x:v>
      </x:c>
      <x:c r="F63" t="str">
        <x:v>특이사항 없음</x:v>
      </x:c>
      <x:c r="G63" t="str">
        <x:v>종결</x:v>
      </x:c>
      <x:c r="H63" t="str">
        <x:v>담당2</x:v>
      </x:c>
      <x:c r="I63" t="str">
        <x:v>모의 기록</x:v>
      </x:c>
    </x:row>
    <x:row r="64" ht="21" customHeight="1">
      <x:c r="A64" t="str">
        <x:v>CHK-0063</x:v>
      </x:c>
      <x:c r="B64" t="str">
        <x:v>EXA-0063</x:v>
      </x:c>
      <x:c r="C64" t="str">
        <x:v>2024-12-03</x:v>
      </x:c>
      <x:c r="D64" t="str">
        <x:v>서면</x:v>
      </x:c>
      <x:c r="E64" t="str">
        <x:v>없음</x:v>
      </x:c>
      <x:c r="F64" t="str">
        <x:v>특이사항 없음</x:v>
      </x:c>
      <x:c r="G64" t="str">
        <x:v>종결</x:v>
      </x:c>
      <x:c r="H64" t="str">
        <x:v>담당3</x:v>
      </x:c>
      <x:c r="I64" t="str">
        <x:v>모의 기록</x:v>
      </x:c>
    </x:row>
    <x:row r="65" ht="21" customHeight="1">
      <x:c r="A65" t="str">
        <x:v>CHK-0064</x:v>
      </x:c>
      <x:c r="B65" t="str">
        <x:v>EXA-0064</x:v>
      </x:c>
      <x:c r="C65" t="str">
        <x:v>2022-11-08</x:v>
      </x:c>
      <x:c r="D65" t="str">
        <x:v>수시</x:v>
      </x:c>
      <x:c r="E65" t="str">
        <x:v>경미</x:v>
      </x:c>
      <x:c r="F65" t="str">
        <x:v>경미사항 보완요청</x:v>
      </x:c>
      <x:c r="G65" t="str">
        <x:v>보완완료</x:v>
      </x:c>
      <x:c r="H65" t="str">
        <x:v>담당2</x:v>
      </x:c>
      <x:c r="I65" t="str">
        <x:v>모의 기록</x:v>
      </x:c>
    </x:row>
    <x:row r="66" ht="21" customHeight="1">
      <x:c r="A66" t="str">
        <x:v>CHK-0065</x:v>
      </x:c>
      <x:c r="B66" t="str">
        <x:v>EXA-0065</x:v>
      </x:c>
      <x:c r="C66" t="str">
        <x:v>2024-07-26</x:v>
      </x:c>
      <x:c r="D66" t="str">
        <x:v>정기</x:v>
      </x:c>
      <x:c r="E66" t="str">
        <x:v>없음</x:v>
      </x:c>
      <x:c r="F66" t="str">
        <x:v>특이사항 없음</x:v>
      </x:c>
      <x:c r="G66" t="str">
        <x:v>종결</x:v>
      </x:c>
      <x:c r="H66" t="str">
        <x:v>담당2</x:v>
      </x:c>
      <x:c r="I66" t="str">
        <x:v>모의 기록</x:v>
      </x:c>
    </x:row>
    <x:row r="67" ht="21" customHeight="1">
      <x:c r="A67" t="str">
        <x:v>CHK-0066</x:v>
      </x:c>
      <x:c r="B67" t="str">
        <x:v>EXA-0066</x:v>
      </x:c>
      <x:c r="C67" t="str">
        <x:v>2026-08-20</x:v>
      </x:c>
      <x:c r="D67" t="str">
        <x:v>정기</x:v>
      </x:c>
      <x:c r="E67" t="str">
        <x:v>없음</x:v>
      </x:c>
      <x:c r="F67" t="str">
        <x:v>특이사항 없음</x:v>
      </x:c>
      <x:c r="G67" t="str">
        <x:v>종결</x:v>
      </x:c>
      <x:c r="H67" t="str">
        <x:v>담당4</x:v>
      </x:c>
      <x:c r="I67" t="str">
        <x:v>모의 기록</x:v>
      </x:c>
    </x:row>
    <x:row r="68" ht="21" customHeight="1">
      <x:c r="A68" t="str">
        <x:v>CHK-0067</x:v>
      </x:c>
      <x:c r="B68" t="str">
        <x:v>EXA-0067</x:v>
      </x:c>
      <x:c r="C68" t="str">
        <x:v>2026-09-18</x:v>
      </x:c>
      <x:c r="D68" t="str">
        <x:v>수시</x:v>
      </x:c>
      <x:c r="E68" t="str">
        <x:v>경미</x:v>
      </x:c>
      <x:c r="F68" t="str">
        <x:v>경미사항 보완요청</x:v>
      </x:c>
      <x:c r="G68" t="str">
        <x:v>조치중</x:v>
      </x:c>
      <x:c r="H68" t="str">
        <x:v>담당2</x:v>
      </x:c>
      <x:c r="I68" t="str">
        <x:v>모의 기록</x:v>
      </x:c>
    </x:row>
    <x:row r="69" ht="21" customHeight="1">
      <x:c r="A69" t="str">
        <x:v>CHK-0068</x:v>
      </x:c>
      <x:c r="B69" t="str">
        <x:v>EXA-0068</x:v>
      </x:c>
      <x:c r="C69" t="str">
        <x:v>2024-07-01</x:v>
      </x:c>
      <x:c r="D69" t="str">
        <x:v>수시</x:v>
      </x:c>
      <x:c r="E69" t="str">
        <x:v>경미</x:v>
      </x:c>
      <x:c r="F69" t="str">
        <x:v>경미사항 보완요청</x:v>
      </x:c>
      <x:c r="G69" t="str">
        <x:v>조치중</x:v>
      </x:c>
      <x:c r="H69" t="str">
        <x:v>담당4</x:v>
      </x:c>
      <x:c r="I69" t="str">
        <x:v>모의 기록</x:v>
      </x:c>
    </x:row>
    <x:row r="70" ht="21" customHeight="1">
      <x:c r="A70" t="str">
        <x:v>CHK-0069</x:v>
      </x:c>
      <x:c r="B70" t="str">
        <x:v>EXA-0069</x:v>
      </x:c>
      <x:c r="C70" t="str">
        <x:v>2022-07-27</x:v>
      </x:c>
      <x:c r="D70" t="str">
        <x:v>수시</x:v>
      </x:c>
      <x:c r="E70" t="str">
        <x:v>없음</x:v>
      </x:c>
      <x:c r="F70" t="str">
        <x:v>특이사항 없음</x:v>
      </x:c>
      <x:c r="G70" t="str">
        <x:v>종결</x:v>
      </x:c>
      <x:c r="H70" t="str">
        <x:v>담당1</x:v>
      </x:c>
      <x:c r="I70" t="str">
        <x:v>모의 기록</x:v>
      </x:c>
    </x:row>
    <x:row r="71" ht="21" customHeight="1">
      <x:c r="A71" t="str">
        <x:v>CHK-0070</x:v>
      </x:c>
      <x:c r="B71" t="str">
        <x:v>EXA-0070</x:v>
      </x:c>
      <x:c r="C71" t="str">
        <x:v>2026-09-19</x:v>
      </x:c>
      <x:c r="D71" t="str">
        <x:v>서면</x:v>
      </x:c>
      <x:c r="E71" t="str">
        <x:v>중대</x:v>
      </x:c>
      <x:c r="F71" t="str">
        <x:v>추가 검토 필요</x:v>
      </x:c>
      <x:c r="G71" t="str">
        <x:v>조치중</x:v>
      </x:c>
      <x:c r="H71" t="str">
        <x:v>담당4</x:v>
      </x:c>
      <x:c r="I71" t="str">
        <x:v>모의 기록</x:v>
      </x:c>
    </x:row>
    <x:row r="72" ht="21" customHeight="1">
      <x:c r="A72" t="str">
        <x:v>CHK-0071</x:v>
      </x:c>
      <x:c r="B72" t="str">
        <x:v>EXA-0071</x:v>
      </x:c>
      <x:c r="C72" t="str">
        <x:v>2023-09-18</x:v>
      </x:c>
      <x:c r="D72" t="str">
        <x:v>정기</x:v>
      </x:c>
      <x:c r="E72" t="str">
        <x:v>경미</x:v>
      </x:c>
      <x:c r="F72" t="str">
        <x:v>경미사항 보완요청</x:v>
      </x:c>
      <x:c r="G72" t="str">
        <x:v>보완완료</x:v>
      </x:c>
      <x:c r="H72" t="str">
        <x:v>담당3</x:v>
      </x:c>
      <x:c r="I72" t="str">
        <x:v>모의 기록</x:v>
      </x:c>
    </x:row>
    <x:row r="73" ht="21" customHeight="1">
      <x:c r="A73" t="str">
        <x:v>CHK-0072</x:v>
      </x:c>
      <x:c r="B73" t="str">
        <x:v>EXA-0072</x:v>
      </x:c>
      <x:c r="C73" t="str">
        <x:v>2022-08-17</x:v>
      </x:c>
      <x:c r="D73" t="str">
        <x:v>정기</x:v>
      </x:c>
      <x:c r="E73" t="str">
        <x:v>없음</x:v>
      </x:c>
      <x:c r="F73" t="str">
        <x:v>특이사항 없음</x:v>
      </x:c>
      <x:c r="G73" t="str">
        <x:v>종결</x:v>
      </x:c>
      <x:c r="H73" t="str">
        <x:v>담당4</x:v>
      </x:c>
      <x:c r="I73" t="str">
        <x:v>모의 기록</x:v>
      </x:c>
    </x:row>
    <x:row r="74" ht="21" customHeight="1">
      <x:c r="A74" t="str">
        <x:v>CHK-0073</x:v>
      </x:c>
      <x:c r="B74" t="str">
        <x:v>EXA-0073</x:v>
      </x:c>
      <x:c r="C74" t="str">
        <x:v>2025-12-19</x:v>
      </x:c>
      <x:c r="D74" t="str">
        <x:v>정기</x:v>
      </x:c>
      <x:c r="E74" t="str">
        <x:v>없음</x:v>
      </x:c>
      <x:c r="F74" t="str">
        <x:v>특이사항 없음</x:v>
      </x:c>
      <x:c r="G74" t="str">
        <x:v>종결</x:v>
      </x:c>
      <x:c r="H74" t="str">
        <x:v>담당4</x:v>
      </x:c>
      <x:c r="I74" t="str">
        <x:v>모의 기록</x:v>
      </x:c>
    </x:row>
    <x:row r="75" ht="21" customHeight="1">
      <x:c r="A75" t="str">
        <x:v>CHK-0074</x:v>
      </x:c>
      <x:c r="B75" t="str">
        <x:v>EXA-0074</x:v>
      </x:c>
      <x:c r="C75" t="str">
        <x:v>2023-05-06</x:v>
      </x:c>
      <x:c r="D75" t="str">
        <x:v>수시</x:v>
      </x:c>
      <x:c r="E75" t="str">
        <x:v>없음</x:v>
      </x:c>
      <x:c r="F75" t="str">
        <x:v>특이사항 없음</x:v>
      </x:c>
      <x:c r="G75" t="str">
        <x:v>종결</x:v>
      </x:c>
      <x:c r="H75" t="str">
        <x:v>담당4</x:v>
      </x:c>
      <x:c r="I75" t="str">
        <x:v>모의 기록</x:v>
      </x:c>
    </x:row>
    <x:row r="76" ht="21" customHeight="1">
      <x:c r="A76" t="str">
        <x:v>CHK-0075</x:v>
      </x:c>
      <x:c r="B76" t="str">
        <x:v>EXA-0075</x:v>
      </x:c>
      <x:c r="C76" t="str">
        <x:v>2026-02-10</x:v>
      </x:c>
      <x:c r="D76" t="str">
        <x:v>서면</x:v>
      </x:c>
      <x:c r="E76" t="str">
        <x:v>없음</x:v>
      </x:c>
      <x:c r="F76" t="str">
        <x:v>특이사항 없음</x:v>
      </x:c>
      <x:c r="G76" t="str">
        <x:v>종결</x:v>
      </x:c>
      <x:c r="H76" t="str">
        <x:v>담당2</x:v>
      </x:c>
      <x:c r="I76" t="str">
        <x:v>모의 기록</x:v>
      </x:c>
    </x:row>
    <x:row r="77" ht="21" customHeight="1">
      <x:c r="A77" t="str">
        <x:v>CHK-0076</x:v>
      </x:c>
      <x:c r="B77" t="str">
        <x:v>EXA-0076</x:v>
      </x:c>
      <x:c r="C77" t="str">
        <x:v>2021-07-19</x:v>
      </x:c>
      <x:c r="D77" t="str">
        <x:v>서면</x:v>
      </x:c>
      <x:c r="E77" t="str">
        <x:v>경미</x:v>
      </x:c>
      <x:c r="F77" t="str">
        <x:v>경미사항 보완요청</x:v>
      </x:c>
      <x:c r="G77" t="str">
        <x:v>추가확인</x:v>
      </x:c>
      <x:c r="H77" t="str">
        <x:v>담당4</x:v>
      </x:c>
      <x:c r="I77" t="str">
        <x:v>모의 기록</x:v>
      </x:c>
    </x:row>
    <x:row r="78" ht="21" customHeight="1">
      <x:c r="A78" t="str">
        <x:v>CHK-0077</x:v>
      </x:c>
      <x:c r="B78" t="str">
        <x:v>EXA-0077</x:v>
      </x:c>
      <x:c r="C78" t="str">
        <x:v>2024-11-05</x:v>
      </x:c>
      <x:c r="D78" t="str">
        <x:v>정기</x:v>
      </x:c>
      <x:c r="E78" t="str">
        <x:v>없음</x:v>
      </x:c>
      <x:c r="F78" t="str">
        <x:v>특이사항 없음</x:v>
      </x:c>
      <x:c r="G78" t="str">
        <x:v>종결</x:v>
      </x:c>
      <x:c r="H78" t="str">
        <x:v>담당1</x:v>
      </x:c>
      <x:c r="I78" t="str">
        <x:v>모의 기록</x:v>
      </x:c>
    </x:row>
    <x:row r="79" ht="21" customHeight="1">
      <x:c r="A79" t="str">
        <x:v>CHK-0078</x:v>
      </x:c>
      <x:c r="B79" t="str">
        <x:v>EXA-0078</x:v>
      </x:c>
      <x:c r="C79" t="str">
        <x:v>2024-03-07</x:v>
      </x:c>
      <x:c r="D79" t="str">
        <x:v>수시</x:v>
      </x:c>
      <x:c r="E79" t="str">
        <x:v>없음</x:v>
      </x:c>
      <x:c r="F79" t="str">
        <x:v>특이사항 없음</x:v>
      </x:c>
      <x:c r="G79" t="str">
        <x:v>종결</x:v>
      </x:c>
      <x:c r="H79" t="str">
        <x:v>담당2</x:v>
      </x:c>
      <x:c r="I79" t="str">
        <x:v>모의 기록</x:v>
      </x:c>
    </x:row>
    <x:row r="80" ht="21" customHeight="1">
      <x:c r="A80" t="str">
        <x:v>CHK-0079</x:v>
      </x:c>
      <x:c r="B80" t="str">
        <x:v>EXA-0079</x:v>
      </x:c>
      <x:c r="C80" t="str">
        <x:v>2025-09-02</x:v>
      </x:c>
      <x:c r="D80" t="str">
        <x:v>정기</x:v>
      </x:c>
      <x:c r="E80" t="str">
        <x:v>없음</x:v>
      </x:c>
      <x:c r="F80" t="str">
        <x:v>특이사항 없음</x:v>
      </x:c>
      <x:c r="G80" t="str">
        <x:v>종결</x:v>
      </x:c>
      <x:c r="H80" t="str">
        <x:v>담당1</x:v>
      </x:c>
      <x:c r="I80" t="str">
        <x:v>모의 기록</x:v>
      </x:c>
    </x:row>
    <x:row r="81" ht="21" customHeight="1">
      <x:c r="A81" t="str">
        <x:v>CHK-0080</x:v>
      </x:c>
      <x:c r="B81" t="str">
        <x:v>EXA-0080</x:v>
      </x:c>
      <x:c r="C81" t="str">
        <x:v>2021-11-03</x:v>
      </x:c>
      <x:c r="D81" t="str">
        <x:v>수시</x:v>
      </x:c>
      <x:c r="E81" t="str">
        <x:v>없음</x:v>
      </x:c>
      <x:c r="F81" t="str">
        <x:v>특이사항 없음</x:v>
      </x:c>
      <x:c r="G81" t="str">
        <x:v>종결</x:v>
      </x:c>
      <x:c r="H81" t="str">
        <x:v>담당4</x:v>
      </x:c>
      <x:c r="I81" t="str">
        <x:v>모의 기록</x:v>
      </x:c>
    </x:row>
    <x:row r="82" ht="21" customHeight="1">
      <x:c r="A82" t="str">
        <x:v>CHK-0081</x:v>
      </x:c>
      <x:c r="B82" t="str">
        <x:v>EXA-0081</x:v>
      </x:c>
      <x:c r="C82" t="str">
        <x:v>2023-08-28</x:v>
      </x:c>
      <x:c r="D82" t="str">
        <x:v>정기</x:v>
      </x:c>
      <x:c r="E82" t="str">
        <x:v>없음</x:v>
      </x:c>
      <x:c r="F82" t="str">
        <x:v>특이사항 없음</x:v>
      </x:c>
      <x:c r="G82" t="str">
        <x:v>종결</x:v>
      </x:c>
      <x:c r="H82" t="str">
        <x:v>담당2</x:v>
      </x:c>
      <x:c r="I82" t="str">
        <x:v>모의 기록</x:v>
      </x:c>
    </x:row>
    <x:row r="83" ht="21" customHeight="1">
      <x:c r="A83" t="str">
        <x:v>CHK-0082</x:v>
      </x:c>
      <x:c r="B83" t="str">
        <x:v>EXA-0082</x:v>
      </x:c>
      <x:c r="C83" t="str">
        <x:v>2024-08-27</x:v>
      </x:c>
      <x:c r="D83" t="str">
        <x:v>정기</x:v>
      </x:c>
      <x:c r="E83" t="str">
        <x:v>없음</x:v>
      </x:c>
      <x:c r="F83" t="str">
        <x:v>특이사항 없음</x:v>
      </x:c>
      <x:c r="G83" t="str">
        <x:v>종결</x:v>
      </x:c>
      <x:c r="H83" t="str">
        <x:v>담당4</x:v>
      </x:c>
      <x:c r="I83" t="str">
        <x:v>모의 기록</x:v>
      </x:c>
    </x:row>
    <x:row r="84" ht="21" customHeight="1">
      <x:c r="A84" t="str">
        <x:v>CHK-0083</x:v>
      </x:c>
      <x:c r="B84" t="str">
        <x:v>EXA-0083</x:v>
      </x:c>
      <x:c r="C84" t="str">
        <x:v>2021-09-03</x:v>
      </x:c>
      <x:c r="D84" t="str">
        <x:v>정기</x:v>
      </x:c>
      <x:c r="E84" t="str">
        <x:v>없음</x:v>
      </x:c>
      <x:c r="F84" t="str">
        <x:v>특이사항 없음</x:v>
      </x:c>
      <x:c r="G84" t="str">
        <x:v>종결</x:v>
      </x:c>
      <x:c r="H84" t="str">
        <x:v>담당4</x:v>
      </x:c>
      <x:c r="I84" t="str">
        <x:v>모의 기록</x:v>
      </x:c>
    </x:row>
    <x:row r="85" ht="21" customHeight="1">
      <x:c r="A85" t="str">
        <x:v>CHK-0084</x:v>
      </x:c>
      <x:c r="B85" t="str">
        <x:v>EXA-0084</x:v>
      </x:c>
      <x:c r="C85" t="str">
        <x:v>2024-05-04</x:v>
      </x:c>
      <x:c r="D85" t="str">
        <x:v>수시</x:v>
      </x:c>
      <x:c r="E85" t="str">
        <x:v>경미</x:v>
      </x:c>
      <x:c r="F85" t="str">
        <x:v>경미사항 보완요청</x:v>
      </x:c>
      <x:c r="G85" t="str">
        <x:v>보완완료</x:v>
      </x:c>
      <x:c r="H85" t="str">
        <x:v>담당3</x:v>
      </x:c>
      <x:c r="I85" t="str">
        <x:v>모의 기록</x:v>
      </x:c>
    </x:row>
    <x:row r="86" ht="21" customHeight="1">
      <x:c r="A86" t="str">
        <x:v>CHK-0085</x:v>
      </x:c>
      <x:c r="B86" t="str">
        <x:v>EXA-0085</x:v>
      </x:c>
      <x:c r="C86" t="str">
        <x:v>2022-07-31</x:v>
      </x:c>
      <x:c r="D86" t="str">
        <x:v>서면</x:v>
      </x:c>
      <x:c r="E86" t="str">
        <x:v>없음</x:v>
      </x:c>
      <x:c r="F86" t="str">
        <x:v>특이사항 없음</x:v>
      </x:c>
      <x:c r="G86" t="str">
        <x:v>종결</x:v>
      </x:c>
      <x:c r="H86" t="str">
        <x:v>담당4</x:v>
      </x:c>
      <x:c r="I86" t="str">
        <x:v>모의 기록</x:v>
      </x:c>
    </x:row>
    <x:row r="87" ht="21" customHeight="1">
      <x:c r="A87" t="str">
        <x:v>CHK-0086</x:v>
      </x:c>
      <x:c r="B87" t="str">
        <x:v>EXA-0086</x:v>
      </x:c>
      <x:c r="C87" t="str">
        <x:v>2022-04-24</x:v>
      </x:c>
      <x:c r="D87" t="str">
        <x:v>수시</x:v>
      </x:c>
      <x:c r="E87" t="str">
        <x:v>없음</x:v>
      </x:c>
      <x:c r="F87" t="str">
        <x:v>특이사항 없음</x:v>
      </x:c>
      <x:c r="G87" t="str">
        <x:v>종결</x:v>
      </x:c>
      <x:c r="H87" t="str">
        <x:v>담당2</x:v>
      </x:c>
      <x:c r="I87" t="str">
        <x:v>모의 기록</x:v>
      </x:c>
    </x:row>
    <x:row r="88" ht="21" customHeight="1">
      <x:c r="A88" t="str">
        <x:v>CHK-0087</x:v>
      </x:c>
      <x:c r="B88" t="str">
        <x:v>EXA-0087</x:v>
      </x:c>
      <x:c r="C88" t="str">
        <x:v>2024-02-23</x:v>
      </x:c>
      <x:c r="D88" t="str">
        <x:v>서면</x:v>
      </x:c>
      <x:c r="E88" t="str">
        <x:v>중대</x:v>
      </x:c>
      <x:c r="F88" t="str">
        <x:v>추가 검토 필요</x:v>
      </x:c>
      <x:c r="G88" t="str">
        <x:v>추가확인</x:v>
      </x:c>
      <x:c r="H88" t="str">
        <x:v>담당2</x:v>
      </x:c>
      <x:c r="I88" t="str">
        <x:v>모의 기록</x:v>
      </x:c>
    </x:row>
    <x:row r="89" ht="21" customHeight="1">
      <x:c r="A89" t="str">
        <x:v>CHK-0088</x:v>
      </x:c>
      <x:c r="B89" t="str">
        <x:v>EXA-0088</x:v>
      </x:c>
      <x:c r="C89" t="str">
        <x:v>2021-12-17</x:v>
      </x:c>
      <x:c r="D89" t="str">
        <x:v>서면</x:v>
      </x:c>
      <x:c r="E89" t="str">
        <x:v>없음</x:v>
      </x:c>
      <x:c r="F89" t="str">
        <x:v>특이사항 없음</x:v>
      </x:c>
      <x:c r="G89" t="str">
        <x:v>종결</x:v>
      </x:c>
      <x:c r="H89" t="str">
        <x:v>담당1</x:v>
      </x:c>
      <x:c r="I89" t="str">
        <x:v>모의 기록</x:v>
      </x:c>
    </x:row>
    <x:row r="90" ht="21" customHeight="1">
      <x:c r="A90" t="str">
        <x:v>CHK-0089</x:v>
      </x:c>
      <x:c r="B90" t="str">
        <x:v>EXA-0089</x:v>
      </x:c>
      <x:c r="C90" t="str">
        <x:v>2025-09-27</x:v>
      </x:c>
      <x:c r="D90" t="str">
        <x:v>서면</x:v>
      </x:c>
      <x:c r="E90" t="str">
        <x:v>없음</x:v>
      </x:c>
      <x:c r="F90" t="str">
        <x:v>특이사항 없음</x:v>
      </x:c>
      <x:c r="G90" t="str">
        <x:v>종결</x:v>
      </x:c>
      <x:c r="H90" t="str">
        <x:v>담당3</x:v>
      </x:c>
      <x:c r="I90" t="str">
        <x:v>모의 기록</x:v>
      </x:c>
    </x:row>
    <x:row r="91" ht="21" customHeight="1">
      <x:c r="A91" t="str">
        <x:v>CHK-0090</x:v>
      </x:c>
      <x:c r="B91" t="str">
        <x:v>EXA-0090</x:v>
      </x:c>
      <x:c r="C91" t="str">
        <x:v>2024-03-16</x:v>
      </x:c>
      <x:c r="D91" t="str">
        <x:v>수시</x:v>
      </x:c>
      <x:c r="E91" t="str">
        <x:v>중대</x:v>
      </x:c>
      <x:c r="F91" t="str">
        <x:v>추가 검토 필요</x:v>
      </x:c>
      <x:c r="G91" t="str">
        <x:v>추가확인</x:v>
      </x:c>
      <x:c r="H91" t="str">
        <x:v>담당3</x:v>
      </x:c>
      <x:c r="I91" t="str">
        <x:v>모의 기록</x:v>
      </x:c>
    </x:row>
    <x:row r="92" ht="21" customHeight="1">
      <x:c r="A92" t="str">
        <x:v>CHK-0091</x:v>
      </x:c>
      <x:c r="B92" t="str">
        <x:v>EXA-0091</x:v>
      </x:c>
      <x:c r="C92" t="str">
        <x:v>2022-04-15</x:v>
      </x:c>
      <x:c r="D92" t="str">
        <x:v>정기</x:v>
      </x:c>
      <x:c r="E92" t="str">
        <x:v>없음</x:v>
      </x:c>
      <x:c r="F92" t="str">
        <x:v>특이사항 없음</x:v>
      </x:c>
      <x:c r="G92" t="str">
        <x:v>종결</x:v>
      </x:c>
      <x:c r="H92" t="str">
        <x:v>담당2</x:v>
      </x:c>
      <x:c r="I92" t="str">
        <x:v>모의 기록</x:v>
      </x:c>
    </x:row>
    <x:row r="93" ht="21" customHeight="1">
      <x:c r="A93" t="str">
        <x:v>CHK-0092</x:v>
      </x:c>
      <x:c r="B93" t="str">
        <x:v>EXA-0092</x:v>
      </x:c>
      <x:c r="C93" t="str">
        <x:v>2023-02-21</x:v>
      </x:c>
      <x:c r="D93" t="str">
        <x:v>정기</x:v>
      </x:c>
      <x:c r="E93" t="str">
        <x:v>없음</x:v>
      </x:c>
      <x:c r="F93" t="str">
        <x:v>특이사항 없음</x:v>
      </x:c>
      <x:c r="G93" t="str">
        <x:v>종결</x:v>
      </x:c>
      <x:c r="H93" t="str">
        <x:v>담당2</x:v>
      </x:c>
      <x:c r="I93" t="str">
        <x:v>모의 기록</x:v>
      </x:c>
    </x:row>
    <x:row r="94" ht="21" customHeight="1">
      <x:c r="A94" t="str">
        <x:v>CHK-0093</x:v>
      </x:c>
      <x:c r="B94" t="str">
        <x:v>EXA-0093</x:v>
      </x:c>
      <x:c r="C94" t="str">
        <x:v>2025-02-10</x:v>
      </x:c>
      <x:c r="D94" t="str">
        <x:v>서면</x:v>
      </x:c>
      <x:c r="E94" t="str">
        <x:v>없음</x:v>
      </x:c>
      <x:c r="F94" t="str">
        <x:v>특이사항 없음</x:v>
      </x:c>
      <x:c r="G94" t="str">
        <x:v>종결</x:v>
      </x:c>
      <x:c r="H94" t="str">
        <x:v>담당3</x:v>
      </x:c>
      <x:c r="I94" t="str">
        <x:v>모의 기록</x:v>
      </x:c>
    </x:row>
    <x:row r="95" ht="21" customHeight="1">
      <x:c r="A95" t="str">
        <x:v>CHK-0094</x:v>
      </x:c>
      <x:c r="B95" t="str">
        <x:v>EXA-0094</x:v>
      </x:c>
      <x:c r="C95" t="str">
        <x:v>2021-05-02</x:v>
      </x:c>
      <x:c r="D95" t="str">
        <x:v>서면</x:v>
      </x:c>
      <x:c r="E95" t="str">
        <x:v>없음</x:v>
      </x:c>
      <x:c r="F95" t="str">
        <x:v>특이사항 없음</x:v>
      </x:c>
      <x:c r="G95" t="str">
        <x:v>종결</x:v>
      </x:c>
      <x:c r="H95" t="str">
        <x:v>담당4</x:v>
      </x:c>
      <x:c r="I95" t="str">
        <x:v>모의 기록</x:v>
      </x:c>
    </x:row>
    <x:row r="96" ht="21" customHeight="1">
      <x:c r="A96" t="str">
        <x:v>CHK-0095</x:v>
      </x:c>
      <x:c r="B96" t="str">
        <x:v>EXA-0095</x:v>
      </x:c>
      <x:c r="C96" t="str">
        <x:v>2024-09-17</x:v>
      </x:c>
      <x:c r="D96" t="str">
        <x:v>수시</x:v>
      </x:c>
      <x:c r="E96" t="str">
        <x:v>없음</x:v>
      </x:c>
      <x:c r="F96" t="str">
        <x:v>특이사항 없음</x:v>
      </x:c>
      <x:c r="G96" t="str">
        <x:v>종결</x:v>
      </x:c>
      <x:c r="H96" t="str">
        <x:v>담당2</x:v>
      </x:c>
      <x:c r="I96" t="str">
        <x:v>모의 기록</x:v>
      </x:c>
    </x:row>
    <x:row r="97" ht="21" customHeight="1">
      <x:c r="A97" t="str">
        <x:v>CHK-0096</x:v>
      </x:c>
      <x:c r="B97" t="str">
        <x:v>EXA-0096</x:v>
      </x:c>
      <x:c r="C97" t="str">
        <x:v>2021-06-25</x:v>
      </x:c>
      <x:c r="D97" t="str">
        <x:v>서면</x:v>
      </x:c>
      <x:c r="E97" t="str">
        <x:v>없음</x:v>
      </x:c>
      <x:c r="F97" t="str">
        <x:v>특이사항 없음</x:v>
      </x:c>
      <x:c r="G97" t="str">
        <x:v>종결</x:v>
      </x:c>
      <x:c r="H97" t="str">
        <x:v>담당1</x:v>
      </x:c>
      <x:c r="I97" t="str">
        <x:v>모의 기록</x:v>
      </x:c>
    </x:row>
    <x:row r="98" ht="21" customHeight="1">
      <x:c r="A98" t="str">
        <x:v>CHK-0097</x:v>
      </x:c>
      <x:c r="B98" t="str">
        <x:v>EXA-0097</x:v>
      </x:c>
      <x:c r="C98" t="str">
        <x:v>2021-07-07</x:v>
      </x:c>
      <x:c r="D98" t="str">
        <x:v>정기</x:v>
      </x:c>
      <x:c r="E98" t="str">
        <x:v>없음</x:v>
      </x:c>
      <x:c r="F98" t="str">
        <x:v>특이사항 없음</x:v>
      </x:c>
      <x:c r="G98" t="str">
        <x:v>종결</x:v>
      </x:c>
      <x:c r="H98" t="str">
        <x:v>담당2</x:v>
      </x:c>
      <x:c r="I98" t="str">
        <x:v>모의 기록</x:v>
      </x:c>
    </x:row>
    <x:row r="99" ht="21" customHeight="1">
      <x:c r="A99" t="str">
        <x:v>CHK-0098</x:v>
      </x:c>
      <x:c r="B99" t="str">
        <x:v>EXA-0098</x:v>
      </x:c>
      <x:c r="C99" t="str">
        <x:v>2026-06-17</x:v>
      </x:c>
      <x:c r="D99" t="str">
        <x:v>정기</x:v>
      </x:c>
      <x:c r="E99" t="str">
        <x:v>없음</x:v>
      </x:c>
      <x:c r="F99" t="str">
        <x:v>특이사항 없음</x:v>
      </x:c>
      <x:c r="G99" t="str">
        <x:v>종결</x:v>
      </x:c>
      <x:c r="H99" t="str">
        <x:v>담당4</x:v>
      </x:c>
      <x:c r="I99" t="str">
        <x:v>모의 기록</x:v>
      </x:c>
    </x:row>
    <x:row r="100" ht="21" customHeight="1">
      <x:c r="A100" t="str">
        <x:v>CHK-0099</x:v>
      </x:c>
      <x:c r="B100" t="str">
        <x:v>EXA-0099</x:v>
      </x:c>
      <x:c r="C100" t="str">
        <x:v>2025-01-10</x:v>
      </x:c>
      <x:c r="D100" t="str">
        <x:v>수시</x:v>
      </x:c>
      <x:c r="E100" t="str">
        <x:v>없음</x:v>
      </x:c>
      <x:c r="F100" t="str">
        <x:v>특이사항 없음</x:v>
      </x:c>
      <x:c r="G100" t="str">
        <x:v>종결</x:v>
      </x:c>
      <x:c r="H100" t="str">
        <x:v>담당4</x:v>
      </x:c>
      <x:c r="I100" t="str">
        <x:v>모의 기록</x:v>
      </x:c>
    </x:row>
    <x:row r="101" ht="21" customHeight="1">
      <x:c r="A101" t="str">
        <x:v>CHK-0100</x:v>
      </x:c>
      <x:c r="B101" t="str">
        <x:v>EXA-0100</x:v>
      </x:c>
      <x:c r="C101" t="str">
        <x:v>2022-07-26</x:v>
      </x:c>
      <x:c r="D101" t="str">
        <x:v>수시</x:v>
      </x:c>
      <x:c r="E101" t="str">
        <x:v>경미</x:v>
      </x:c>
      <x:c r="F101" t="str">
        <x:v>경미사항 보완요청</x:v>
      </x:c>
      <x:c r="G101" t="str">
        <x:v>보완완료</x:v>
      </x:c>
      <x:c r="H101" t="str">
        <x:v>담당1</x:v>
      </x:c>
      <x:c r="I101" t="str">
        <x:v>모의 기록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3" hidden="0" customWidth="1"/>
    <x:col min="4" max="4" width="20" hidden="0" customWidth="1"/>
    <x:col min="5" max="5" width="20" hidden="0" customWidth="1"/>
    <x:col min="6" max="6" width="15" hidden="0" customWidth="1"/>
    <x:col min="7" max="7" width="21" hidden="0" customWidth="1"/>
    <x:col min="8" max="8" width="21" hidden="0" customWidth="1"/>
    <x:col min="9" max="9" width="21" hidden="0" customWidth="1"/>
    <x:col min="10" max="10" width="23" hidden="0" customWidth="1"/>
    <x:col min="11" max="11" width="15" hidden="0" customWidth="1"/>
    <x:col min="12" max="12" width="16" hidden="0" customWidth="1"/>
    <x:col min="13" max="13" width="18" hidden="0" customWidth="1"/>
  </x:cols>
  <x:sheetData>
    <x:row r="1" ht="31" customHeight="1">
      <x:c r="A1" s="4" t="str">
        <x:v>업체ID</x:v>
      </x:c>
      <x:c r="B1" s="4" t="str">
        <x:v>상호</x:v>
      </x:c>
      <x:c r="C1" s="4" t="str">
        <x:v>관할구</x:v>
      </x:c>
      <x:c r="D1" s="4" t="str">
        <x:v>2024 실적(만원)</x:v>
      </x:c>
      <x:c r="E1" s="4" t="str">
        <x:v>2025 실적(만원)</x:v>
      </x:c>
      <x:c r="F1" s="4" t="str">
        <x:v>증감률</x:v>
      </x:c>
      <x:c r="G1" s="4" t="str">
        <x:v>실적변동점수(최대30)</x:v>
      </x:c>
      <x:c r="H1" s="4" t="str">
        <x:v>점검경과점수(최대20)</x:v>
      </x:c>
      <x:c r="I1" s="4" t="str">
        <x:v>위반이력점수(최대30)</x:v>
      </x:c>
      <x:c r="J1" s="4" t="str">
        <x:v>휴폐업등점수(최대20)</x:v>
      </x:c>
      <x:c r="K1" s="4" t="str">
        <x:v>위험도합계</x:v>
      </x:c>
      <x:c r="L1" s="4" t="str">
        <x:v>위험등급</x:v>
      </x:c>
      <x:c r="M1" s="4" t="str">
        <x:v>평가의견</x:v>
      </x:c>
    </x:row>
    <x:row r="2" ht="21" customHeight="1">
      <x:c r="A2" t="str">
        <x:f>업체현황!A2</x:f>
        <x:v>EXA-0001</x:v>
      </x:c>
      <x:c r="B2" t="str">
        <x:f>업체현황!B2</x:f>
        <x:v>삼일플러스익스체인지 001호</x:v>
      </x:c>
      <x:c r="C2" t="str">
        <x:f>업체현황!F2</x:f>
        <x:v>단원구</x:v>
      </x:c>
      <x:c r="D2" s="10" t="n">
        <x:f>SUMIFS(연도별실적!$C$2:$C$401,연도별실적!$A$2:$A$401,A2,연도별실적!$B$2:$B$401,2024)</x:f>
        <x:v>87168</x:v>
      </x:c>
      <x:c r="E2" s="10" t="n">
        <x:f>SUMIFS(연도별실적!$C$2:$C$401,연도별실적!$A$2:$A$401,A2,연도별실적!$B$2:$B$401,2025)</x:f>
        <x:v>104453</x:v>
      </x:c>
      <x:c r="F2" s="8" t="n">
        <x:f>IF(D2=0,0,(E2-D2)/D2)</x:f>
        <x:v>0.19829524596182085</x:v>
      </x:c>
      <x:c r="G2" t="n">
        <x:f>IF(ABS(F2)&gt;=0.6,30,IF(ABS(F2)&gt;=0.35,20,IF(ABS(F2)&gt;=0.2,10,0)))</x:f>
        <x:v>0</x:v>
      </x:c>
      <x:c r="H2" t="n">
        <x:f>IF(DATE(2026,10,23)-DATEVALUE(업체현황!O2)&gt;=1095,20,IF(DATE(2026,10,23)-DATEVALUE(업체현황!O2)&gt;=730,15,IF(DATE(2026,10,23)-DATEVALUE(업체현황!O2)&gt;=365,10,0)))</x:f>
        <x:v>10</x:v>
      </x:c>
      <x:c r="I2" t="n">
        <x:f>IF(업체현황!P2="중대",30,IF(업체현황!P2="경미",15,0))</x:f>
        <x:v>0</x:v>
      </x:c>
      <x:c r="J2" t="n">
        <x:f>IF(업체현황!L2="폐업",0,IF(업체현황!L2="휴업",10,0))</x:f>
        <x:v>0</x:v>
      </x:c>
      <x:c r="K2" t="n">
        <x:f>SUM(G2:J2)</x:f>
        <x:v>10</x:v>
      </x:c>
      <x:c r="L2" t="str">
        <x:f>IF(K2&gt;=70,"고위험",IF(K2&gt;=40,"주의","일반"))</x:f>
        <x:v>일반</x:v>
      </x:c>
      <x:c r="M2" t="str">
        <x:f>IF(K2&gt;=70,"우선 검토",IF(K2&gt;=40,"모니터링","정기관리"))</x:f>
        <x:v>정기관리</x:v>
      </x:c>
    </x:row>
    <x:row r="3" ht="21" customHeight="1">
      <x:c r="A3" t="str">
        <x:f>업체현황!A3</x:f>
        <x:v>EXA-0002</x:v>
      </x:c>
      <x:c r="B3" t="str">
        <x:f>업체현황!B3</x:f>
        <x:v>다정스타환전소 002호</x:v>
      </x:c>
      <x:c r="C3" t="str">
        <x:f>업체현황!F3</x:f>
        <x:v>단원구</x:v>
      </x:c>
      <x:c r="D3" s="10" t="n">
        <x:f>SUMIFS(연도별실적!$C$2:$C$401,연도별실적!$A$2:$A$401,A3,연도별실적!$B$2:$B$401,2024)</x:f>
        <x:v>147993</x:v>
      </x:c>
      <x:c r="E3" s="10" t="n">
        <x:f>SUMIFS(연도별실적!$C$2:$C$401,연도별실적!$A$2:$A$401,A3,연도별실적!$B$2:$B$401,2025)</x:f>
        <x:v>86378</x:v>
      </x:c>
      <x:c r="F3" s="8" t="n">
        <x:f>IF(D3=0,0,(E3-D3)/D3)</x:f>
        <x:v>-0.41633725919469167</x:v>
      </x:c>
      <x:c r="G3" t="n">
        <x:f>IF(ABS(F3)&gt;=0.6,30,IF(ABS(F3)&gt;=0.35,20,IF(ABS(F3)&gt;=0.2,10,0)))</x:f>
        <x:v>20</x:v>
      </x:c>
      <x:c r="H3" t="n">
        <x:f>IF(DATE(2026,10,23)-DATEVALUE(업체현황!O3)&gt;=1095,20,IF(DATE(2026,10,23)-DATEVALUE(업체현황!O3)&gt;=730,15,IF(DATE(2026,10,23)-DATEVALUE(업체현황!O3)&gt;=365,10,0)))</x:f>
        <x:v>15</x:v>
      </x:c>
      <x:c r="I3" t="n">
        <x:f>IF(업체현황!P3="중대",30,IF(업체현황!P3="경미",15,0))</x:f>
        <x:v>0</x:v>
      </x:c>
      <x:c r="J3" t="n">
        <x:f>IF(업체현황!L3="폐업",0,IF(업체현황!L3="휴업",10,0))</x:f>
        <x:v>0</x:v>
      </x:c>
      <x:c r="K3" t="n">
        <x:f>SUM(G3:J3)</x:f>
        <x:v>35</x:v>
      </x:c>
      <x:c r="L3" t="str">
        <x:f>IF(K3&gt;=70,"고위험",IF(K3&gt;=40,"주의","일반"))</x:f>
        <x:v>일반</x:v>
      </x:c>
      <x:c r="M3" t="str">
        <x:f>IF(K3&gt;=70,"우선 검토",IF(K3&gt;=40,"모니터링","정기관리"))</x:f>
        <x:v>정기관리</x:v>
      </x:c>
    </x:row>
    <x:row r="4" ht="21" customHeight="1">
      <x:c r="A4" t="str">
        <x:f>업체현황!A4</x:f>
        <x:v>EXA-0003</x:v>
      </x:c>
      <x:c r="B4" t="str">
        <x:f>업체현황!B4</x:f>
        <x:v>세명프라임외환서비스 003호</x:v>
      </x:c>
      <x:c r="C4" t="str">
        <x:f>업체현황!F4</x:f>
        <x:v>상록구</x:v>
      </x:c>
      <x:c r="D4" s="10" t="n">
        <x:f>SUMIFS(연도별실적!$C$2:$C$401,연도별실적!$A$2:$A$401,A4,연도별실적!$B$2:$B$401,2024)</x:f>
        <x:v>58070</x:v>
      </x:c>
      <x:c r="E4" s="10" t="n">
        <x:f>SUMIFS(연도별실적!$C$2:$C$401,연도별실적!$A$2:$A$401,A4,연도별실적!$B$2:$B$401,2025)</x:f>
        <x:v>90246</x:v>
      </x:c>
      <x:c r="F4" s="8" t="n">
        <x:f>IF(D4=0,0,(E4-D4)/D4)</x:f>
        <x:v>0.5540898915102462</x:v>
      </x:c>
      <x:c r="G4" t="n">
        <x:f>IF(ABS(F4)&gt;=0.6,30,IF(ABS(F4)&gt;=0.35,20,IF(ABS(F4)&gt;=0.2,10,0)))</x:f>
        <x:v>20</x:v>
      </x:c>
      <x:c r="H4" t="n">
        <x:f>IF(DATE(2026,10,23)-DATEVALUE(업체현황!O4)&gt;=1095,20,IF(DATE(2026,10,23)-DATEVALUE(업체현황!O4)&gt;=730,15,IF(DATE(2026,10,23)-DATEVALUE(업체현황!O4)&gt;=365,10,0)))</x:f>
        <x:v>20</x:v>
      </x:c>
      <x:c r="I4" t="n">
        <x:f>IF(업체현황!P4="중대",30,IF(업체현황!P4="경미",15,0))</x:f>
        <x:v>15</x:v>
      </x:c>
      <x:c r="J4" t="n">
        <x:f>IF(업체현황!L4="폐업",0,IF(업체현황!L4="휴업",10,0))</x:f>
        <x:v>0</x:v>
      </x:c>
      <x:c r="K4" t="n">
        <x:f>SUM(G4:J4)</x:f>
        <x:v>55</x:v>
      </x:c>
      <x:c r="L4" t="str">
        <x:f>IF(K4&gt;=70,"고위험",IF(K4&gt;=40,"주의","일반"))</x:f>
        <x:v>주의</x:v>
      </x:c>
      <x:c r="M4" t="str">
        <x:f>IF(K4&gt;=70,"우선 검토",IF(K4&gt;=40,"모니터링","정기관리"))</x:f>
        <x:v>모니터링</x:v>
      </x:c>
    </x:row>
    <x:row r="5" ht="21" customHeight="1">
      <x:c r="A5" t="str">
        <x:f>업체현황!A5</x:f>
        <x:v>EXA-0004</x:v>
      </x:c>
      <x:c r="B5" t="str">
        <x:f>업체현황!B5</x:f>
        <x:v>태양환전소 004호</x:v>
      </x:c>
      <x:c r="C5" t="str">
        <x:f>업체현황!F5</x:f>
        <x:v>상록구</x:v>
      </x:c>
      <x:c r="D5" s="10" t="n">
        <x:f>SUMIFS(연도별실적!$C$2:$C$401,연도별실적!$A$2:$A$401,A5,연도별실적!$B$2:$B$401,2024)</x:f>
        <x:v>148384</x:v>
      </x:c>
      <x:c r="E5" s="10" t="n">
        <x:f>SUMIFS(연도별실적!$C$2:$C$401,연도별실적!$A$2:$A$401,A5,연도별실적!$B$2:$B$401,2025)</x:f>
        <x:v>219468</x:v>
      </x:c>
      <x:c r="F5" s="8" t="n">
        <x:f>IF(D5=0,0,(E5-D5)/D5)</x:f>
        <x:v>0.47905434548199266</x:v>
      </x:c>
      <x:c r="G5" t="n">
        <x:f>IF(ABS(F5)&gt;=0.6,30,IF(ABS(F5)&gt;=0.35,20,IF(ABS(F5)&gt;=0.2,10,0)))</x:f>
        <x:v>20</x:v>
      </x:c>
      <x:c r="H5" t="n">
        <x:f>IF(DATE(2026,10,23)-DATEVALUE(업체현황!O5)&gt;=1095,20,IF(DATE(2026,10,23)-DATEVALUE(업체현황!O5)&gt;=730,15,IF(DATE(2026,10,23)-DATEVALUE(업체현황!O5)&gt;=365,10,0)))</x:f>
        <x:v>0</x:v>
      </x:c>
      <x:c r="I5" t="n">
        <x:f>IF(업체현황!P5="중대",30,IF(업체현황!P5="경미",15,0))</x:f>
        <x:v>0</x:v>
      </x:c>
      <x:c r="J5" t="n">
        <x:f>IF(업체현황!L5="폐업",0,IF(업체현황!L5="휴업",10,0))</x:f>
        <x:v>0</x:v>
      </x:c>
      <x:c r="K5" t="n">
        <x:f>SUM(G5:J5)</x:f>
        <x:v>20</x:v>
      </x:c>
      <x:c r="L5" t="str">
        <x:f>IF(K5&gt;=70,"고위험",IF(K5&gt;=40,"주의","일반"))</x:f>
        <x:v>일반</x:v>
      </x:c>
      <x:c r="M5" t="str">
        <x:f>IF(K5&gt;=70,"우선 검토",IF(K5&gt;=40,"모니터링","정기관리"))</x:f>
        <x:v>정기관리</x:v>
      </x:c>
    </x:row>
    <x:row r="6" ht="21" customHeight="1">
      <x:c r="A6" t="str">
        <x:f>업체현황!A6</x:f>
        <x:v>EXA-0005</x:v>
      </x:c>
      <x:c r="B6" t="str">
        <x:f>업체현황!B6</x:f>
        <x:v>중앙스타환전 005호</x:v>
      </x:c>
      <x:c r="C6" t="str">
        <x:f>업체현황!F6</x:f>
        <x:v>단원구</x:v>
      </x:c>
      <x:c r="D6" s="10" t="n">
        <x:f>SUMIFS(연도별실적!$C$2:$C$401,연도별실적!$A$2:$A$401,A6,연도별실적!$B$2:$B$401,2024)</x:f>
        <x:v>16044</x:v>
      </x:c>
      <x:c r="E6" s="10" t="n">
        <x:f>SUMIFS(연도별실적!$C$2:$C$401,연도별실적!$A$2:$A$401,A6,연도별실적!$B$2:$B$401,2025)</x:f>
        <x:v>20254</x:v>
      </x:c>
      <x:c r="F6" s="8" t="n">
        <x:f>IF(D6=0,0,(E6-D6)/D6)</x:f>
        <x:v>0.262403390675642</x:v>
      </x:c>
      <x:c r="G6" t="n">
        <x:f>IF(ABS(F6)&gt;=0.6,30,IF(ABS(F6)&gt;=0.35,20,IF(ABS(F6)&gt;=0.2,10,0)))</x:f>
        <x:v>10</x:v>
      </x:c>
      <x:c r="H6" t="n">
        <x:f>IF(DATE(2026,10,23)-DATEVALUE(업체현황!O6)&gt;=1095,20,IF(DATE(2026,10,23)-DATEVALUE(업체현황!O6)&gt;=730,15,IF(DATE(2026,10,23)-DATEVALUE(업체현황!O6)&gt;=365,10,0)))</x:f>
        <x:v>15</x:v>
      </x:c>
      <x:c r="I6" t="n">
        <x:f>IF(업체현황!P6="중대",30,IF(업체현황!P6="경미",15,0))</x:f>
        <x:v>15</x:v>
      </x:c>
      <x:c r="J6" t="n">
        <x:f>IF(업체현황!L6="폐업",0,IF(업체현황!L6="휴업",10,0))</x:f>
        <x:v>0</x:v>
      </x:c>
      <x:c r="K6" t="n">
        <x:f>SUM(G6:J6)</x:f>
        <x:v>40</x:v>
      </x:c>
      <x:c r="L6" t="str">
        <x:f>IF(K6&gt;=70,"고위험",IF(K6&gt;=40,"주의","일반"))</x:f>
        <x:v>주의</x:v>
      </x:c>
      <x:c r="M6" t="str">
        <x:f>IF(K6&gt;=70,"우선 검토",IF(K6&gt;=40,"모니터링","정기관리"))</x:f>
        <x:v>모니터링</x:v>
      </x:c>
    </x:row>
    <x:row r="7" ht="21" customHeight="1">
      <x:c r="A7" t="str">
        <x:f>업체현황!A7</x:f>
        <x:v>EXA-0006</x:v>
      </x:c>
      <x:c r="B7" t="str">
        <x:f>업체현황!B7</x:f>
        <x:v>동서스타환전 006호</x:v>
      </x:c>
      <x:c r="C7" t="str">
        <x:f>업체현황!F7</x:f>
        <x:v>단원구</x:v>
      </x:c>
      <x:c r="D7" s="10" t="n">
        <x:f>SUMIFS(연도별실적!$C$2:$C$401,연도별실적!$A$2:$A$401,A7,연도별실적!$B$2:$B$401,2024)</x:f>
        <x:v>37711</x:v>
      </x:c>
      <x:c r="E7" s="10" t="n">
        <x:f>SUMIFS(연도별실적!$C$2:$C$401,연도별실적!$A$2:$A$401,A7,연도별실적!$B$2:$B$401,2025)</x:f>
        <x:v>34388</x:v>
      </x:c>
      <x:c r="F7" s="8" t="n">
        <x:f>IF(D7=0,0,(E7-D7)/D7)</x:f>
        <x:v>-0.08811752539046963</x:v>
      </x:c>
      <x:c r="G7" t="n">
        <x:f>IF(ABS(F7)&gt;=0.6,30,IF(ABS(F7)&gt;=0.35,20,IF(ABS(F7)&gt;=0.2,10,0)))</x:f>
        <x:v>0</x:v>
      </x:c>
      <x:c r="H7" t="n">
        <x:f>IF(DATE(2026,10,23)-DATEVALUE(업체현황!O7)&gt;=1095,20,IF(DATE(2026,10,23)-DATEVALUE(업체현황!O7)&gt;=730,15,IF(DATE(2026,10,23)-DATEVALUE(업체현황!O7)&gt;=365,10,0)))</x:f>
        <x:v>0</x:v>
      </x:c>
      <x:c r="I7" t="n">
        <x:f>IF(업체현황!P7="중대",30,IF(업체현황!P7="경미",15,0))</x:f>
        <x:v>0</x:v>
      </x:c>
      <x:c r="J7" t="n">
        <x:f>IF(업체현황!L7="폐업",0,IF(업체현황!L7="휴업",10,0))</x:f>
        <x:v>0</x:v>
      </x:c>
      <x:c r="K7" t="n">
        <x:f>SUM(G7:J7)</x:f>
        <x:v>0</x:v>
      </x:c>
      <x:c r="L7" t="str">
        <x:f>IF(K7&gt;=70,"고위험",IF(K7&gt;=40,"주의","일반"))</x:f>
        <x:v>일반</x:v>
      </x:c>
      <x:c r="M7" t="str">
        <x:f>IF(K7&gt;=70,"우선 검토",IF(K7&gt;=40,"모니터링","정기관리"))</x:f>
        <x:v>정기관리</x:v>
      </x:c>
    </x:row>
    <x:row r="8" ht="21" customHeight="1">
      <x:c r="A8" t="str">
        <x:f>업체현황!A8</x:f>
        <x:v>EXA-0007</x:v>
      </x:c>
      <x:c r="B8" t="str">
        <x:f>업체현황!B8</x:f>
        <x:v>국제프라임환전 007호</x:v>
      </x:c>
      <x:c r="C8" t="str">
        <x:f>업체현황!F8</x:f>
        <x:v>상록구</x:v>
      </x:c>
      <x:c r="D8" s="10" t="n">
        <x:f>SUMIFS(연도별실적!$C$2:$C$401,연도별실적!$A$2:$A$401,A8,연도별실적!$B$2:$B$401,2024)</x:f>
        <x:v>171885</x:v>
      </x:c>
      <x:c r="E8" s="10" t="n">
        <x:f>SUMIFS(연도별실적!$C$2:$C$401,연도별실적!$A$2:$A$401,A8,연도별실적!$B$2:$B$401,2025)</x:f>
        <x:v>230132</x:v>
      </x:c>
      <x:c r="F8" s="8" t="n">
        <x:f>IF(D8=0,0,(E8-D8)/D8)</x:f>
        <x:v>0.3388719201791896</x:v>
      </x:c>
      <x:c r="G8" t="n">
        <x:f>IF(ABS(F8)&gt;=0.6,30,IF(ABS(F8)&gt;=0.35,20,IF(ABS(F8)&gt;=0.2,10,0)))</x:f>
        <x:v>10</x:v>
      </x:c>
      <x:c r="H8" t="n">
        <x:f>IF(DATE(2026,10,23)-DATEVALUE(업체현황!O8)&gt;=1095,20,IF(DATE(2026,10,23)-DATEVALUE(업체현황!O8)&gt;=730,15,IF(DATE(2026,10,23)-DATEVALUE(업체현황!O8)&gt;=365,10,0)))</x:f>
        <x:v>10</x:v>
      </x:c>
      <x:c r="I8" t="n">
        <x:f>IF(업체현황!P8="중대",30,IF(업체현황!P8="경미",15,0))</x:f>
        <x:v>0</x:v>
      </x:c>
      <x:c r="J8" t="n">
        <x:f>IF(업체현황!L8="폐업",0,IF(업체현황!L8="휴업",10,0))</x:f>
        <x:v>0</x:v>
      </x:c>
      <x:c r="K8" t="n">
        <x:f>SUM(G8:J8)</x:f>
        <x:v>20</x:v>
      </x:c>
      <x:c r="L8" t="str">
        <x:f>IF(K8&gt;=70,"고위험",IF(K8&gt;=40,"주의","일반"))</x:f>
        <x:v>일반</x:v>
      </x:c>
      <x:c r="M8" t="str">
        <x:f>IF(K8&gt;=70,"우선 검토",IF(K8&gt;=40,"모니터링","정기관리"))</x:f>
        <x:v>정기관리</x:v>
      </x:c>
    </x:row>
    <x:row r="9" ht="21" customHeight="1">
      <x:c r="A9" t="str">
        <x:f>업체현황!A9</x:f>
        <x:v>EXA-0008</x:v>
      </x:c>
      <x:c r="B9" t="str">
        <x:f>업체현황!B9</x:f>
        <x:v>다정프라임환전 008호</x:v>
      </x:c>
      <x:c r="C9" t="str">
        <x:f>업체현황!F9</x:f>
        <x:v>상록구</x:v>
      </x:c>
      <x:c r="D9" s="10" t="n">
        <x:f>SUMIFS(연도별실적!$C$2:$C$401,연도별실적!$A$2:$A$401,A9,연도별실적!$B$2:$B$401,2024)</x:f>
        <x:v>333098</x:v>
      </x:c>
      <x:c r="E9" s="10" t="n">
        <x:f>SUMIFS(연도별실적!$C$2:$C$401,연도별실적!$A$2:$A$401,A9,연도별실적!$B$2:$B$401,2025)</x:f>
        <x:v>310447</x:v>
      </x:c>
      <x:c r="F9" s="8" t="n">
        <x:f>IF(D9=0,0,(E9-D9)/D9)</x:f>
        <x:v>-0.06800100871215078</x:v>
      </x:c>
      <x:c r="G9" t="n">
        <x:f>IF(ABS(F9)&gt;=0.6,30,IF(ABS(F9)&gt;=0.35,20,IF(ABS(F9)&gt;=0.2,10,0)))</x:f>
        <x:v>0</x:v>
      </x:c>
      <x:c r="H9" t="n">
        <x:f>IF(DATE(2026,10,23)-DATEVALUE(업체현황!O9)&gt;=1095,20,IF(DATE(2026,10,23)-DATEVALUE(업체현황!O9)&gt;=730,15,IF(DATE(2026,10,23)-DATEVALUE(업체현황!O9)&gt;=365,10,0)))</x:f>
        <x:v>20</x:v>
      </x:c>
      <x:c r="I9" t="n">
        <x:f>IF(업체현황!P9="중대",30,IF(업체현황!P9="경미",15,0))</x:f>
        <x:v>0</x:v>
      </x:c>
      <x:c r="J9" t="n">
        <x:f>IF(업체현황!L9="폐업",0,IF(업체현황!L9="휴업",10,0))</x:f>
        <x:v>0</x:v>
      </x:c>
      <x:c r="K9" t="n">
        <x:f>SUM(G9:J9)</x:f>
        <x:v>20</x:v>
      </x:c>
      <x:c r="L9" t="str">
        <x:f>IF(K9&gt;=70,"고위험",IF(K9&gt;=40,"주의","일반"))</x:f>
        <x:v>일반</x:v>
      </x:c>
      <x:c r="M9" t="str">
        <x:f>IF(K9&gt;=70,"우선 검토",IF(K9&gt;=40,"모니터링","정기관리"))</x:f>
        <x:v>정기관리</x:v>
      </x:c>
    </x:row>
    <x:row r="10" ht="21" customHeight="1">
      <x:c r="A10" t="str">
        <x:f>업체현황!A10</x:f>
        <x:v>EXA-0009</x:v>
      </x:c>
      <x:c r="B10" t="str">
        <x:f>업체현황!B10</x:f>
        <x:v>한빛외환서비스 009호</x:v>
      </x:c>
      <x:c r="C10" t="str">
        <x:f>업체현황!F10</x:f>
        <x:v>단원구</x:v>
      </x:c>
      <x:c r="D10" s="10" t="n">
        <x:f>SUMIFS(연도별실적!$C$2:$C$401,연도별실적!$A$2:$A$401,A10,연도별실적!$B$2:$B$401,2024)</x:f>
        <x:v>42843</x:v>
      </x:c>
      <x:c r="E10" s="10" t="n">
        <x:f>SUMIFS(연도별실적!$C$2:$C$401,연도별실적!$A$2:$A$401,A10,연도별실적!$B$2:$B$401,2025)</x:f>
        <x:v>40946</x:v>
      </x:c>
      <x:c r="F10" s="8" t="n">
        <x:f>IF(D10=0,0,(E10-D10)/D10)</x:f>
        <x:v>-0.04427794505520155</x:v>
      </x:c>
      <x:c r="G10" t="n">
        <x:f>IF(ABS(F10)&gt;=0.6,30,IF(ABS(F10)&gt;=0.35,20,IF(ABS(F10)&gt;=0.2,10,0)))</x:f>
        <x:v>0</x:v>
      </x:c>
      <x:c r="H10" t="n">
        <x:f>IF(DATE(2026,10,23)-DATEVALUE(업체현황!O10)&gt;=1095,20,IF(DATE(2026,10,23)-DATEVALUE(업체현황!O10)&gt;=730,15,IF(DATE(2026,10,23)-DATEVALUE(업체현황!O10)&gt;=365,10,0)))</x:f>
        <x:v>15</x:v>
      </x:c>
      <x:c r="I10" t="n">
        <x:f>IF(업체현황!P10="중대",30,IF(업체현황!P10="경미",15,0))</x:f>
        <x:v>0</x:v>
      </x:c>
      <x:c r="J10" t="n">
        <x:f>IF(업체현황!L10="폐업",0,IF(업체현황!L10="휴업",10,0))</x:f>
        <x:v>0</x:v>
      </x:c>
      <x:c r="K10" t="n">
        <x:f>SUM(G10:J10)</x:f>
        <x:v>15</x:v>
      </x:c>
      <x:c r="L10" t="str">
        <x:f>IF(K10&gt;=70,"고위험",IF(K10&gt;=40,"주의","일반"))</x:f>
        <x:v>일반</x:v>
      </x:c>
      <x:c r="M10" t="str">
        <x:f>IF(K10&gt;=70,"우선 검토",IF(K10&gt;=40,"모니터링","정기관리"))</x:f>
        <x:v>정기관리</x:v>
      </x:c>
    </x:row>
    <x:row r="11" ht="21" customHeight="1">
      <x:c r="A11" t="str">
        <x:f>업체현황!A11</x:f>
        <x:v>EXA-0010</x:v>
      </x:c>
      <x:c r="B11" t="str">
        <x:f>업체현황!B11</x:f>
        <x:v>한울원익스체인지 010호</x:v>
      </x:c>
      <x:c r="C11" t="str">
        <x:f>업체현황!F11</x:f>
        <x:v>상록구</x:v>
      </x:c>
      <x:c r="D11" s="10" t="n">
        <x:f>SUMIFS(연도별실적!$C$2:$C$401,연도별실적!$A$2:$A$401,A11,연도별실적!$B$2:$B$401,2024)</x:f>
        <x:v>195781</x:v>
      </x:c>
      <x:c r="E11" s="10" t="n">
        <x:f>SUMIFS(연도별실적!$C$2:$C$401,연도별실적!$A$2:$A$401,A11,연도별실적!$B$2:$B$401,2025)</x:f>
        <x:v>119501</x:v>
      </x:c>
      <x:c r="F11" s="8" t="n">
        <x:f>IF(D11=0,0,(E11-D11)/D11)</x:f>
        <x:v>-0.3896190130809425</x:v>
      </x:c>
      <x:c r="G11" t="n">
        <x:f>IF(ABS(F11)&gt;=0.6,30,IF(ABS(F11)&gt;=0.35,20,IF(ABS(F11)&gt;=0.2,10,0)))</x:f>
        <x:v>20</x:v>
      </x:c>
      <x:c r="H11" t="n">
        <x:f>IF(DATE(2026,10,23)-DATEVALUE(업체현황!O11)&gt;=1095,20,IF(DATE(2026,10,23)-DATEVALUE(업체현황!O11)&gt;=730,15,IF(DATE(2026,10,23)-DATEVALUE(업체현황!O11)&gt;=365,10,0)))</x:f>
        <x:v>15</x:v>
      </x:c>
      <x:c r="I11" t="n">
        <x:f>IF(업체현황!P11="중대",30,IF(업체현황!P11="경미",15,0))</x:f>
        <x:v>0</x:v>
      </x:c>
      <x:c r="J11" t="n">
        <x:f>IF(업체현황!L11="폐업",0,IF(업체현황!L11="휴업",10,0))</x:f>
        <x:v>0</x:v>
      </x:c>
      <x:c r="K11" t="n">
        <x:f>SUM(G11:J11)</x:f>
        <x:v>35</x:v>
      </x:c>
      <x:c r="L11" t="str">
        <x:f>IF(K11&gt;=70,"고위험",IF(K11&gt;=40,"주의","일반"))</x:f>
        <x:v>일반</x:v>
      </x:c>
      <x:c r="M11" t="str">
        <x:f>IF(K11&gt;=70,"우선 검토",IF(K11&gt;=40,"모니터링","정기관리"))</x:f>
        <x:v>정기관리</x:v>
      </x:c>
    </x:row>
    <x:row r="12" ht="21" customHeight="1">
      <x:c r="A12" t="str">
        <x:f>업체현황!A12</x:f>
        <x:v>EXA-0011</x:v>
      </x:c>
      <x:c r="B12" t="str">
        <x:f>업체현황!B12</x:f>
        <x:v>삼일스타외환서비스 011호</x:v>
      </x:c>
      <x:c r="C12" t="str">
        <x:f>업체현황!F12</x:f>
        <x:v>상록구</x:v>
      </x:c>
      <x:c r="D12" s="10" t="n">
        <x:f>SUMIFS(연도별실적!$C$2:$C$401,연도별실적!$A$2:$A$401,A12,연도별실적!$B$2:$B$401,2024)</x:f>
        <x:v>31567</x:v>
      </x:c>
      <x:c r="E12" s="10" t="n">
        <x:f>SUMIFS(연도별실적!$C$2:$C$401,연도별실적!$A$2:$A$401,A12,연도별실적!$B$2:$B$401,2025)</x:f>
        <x:v>51390</x:v>
      </x:c>
      <x:c r="F12" s="8" t="n">
        <x:f>IF(D12=0,0,(E12-D12)/D12)</x:f>
        <x:v>0.6279659137707099</x:v>
      </x:c>
      <x:c r="G12" t="n">
        <x:f>IF(ABS(F12)&gt;=0.6,30,IF(ABS(F12)&gt;=0.35,20,IF(ABS(F12)&gt;=0.2,10,0)))</x:f>
        <x:v>30</x:v>
      </x:c>
      <x:c r="H12" t="n">
        <x:f>IF(DATE(2026,10,23)-DATEVALUE(업체현황!O12)&gt;=1095,20,IF(DATE(2026,10,23)-DATEVALUE(업체현황!O12)&gt;=730,15,IF(DATE(2026,10,23)-DATEVALUE(업체현황!O12)&gt;=365,10,0)))</x:f>
        <x:v>10</x:v>
      </x:c>
      <x:c r="I12" t="n">
        <x:f>IF(업체현황!P12="중대",30,IF(업체현황!P12="경미",15,0))</x:f>
        <x:v>0</x:v>
      </x:c>
      <x:c r="J12" t="n">
        <x:f>IF(업체현황!L12="폐업",0,IF(업체현황!L12="휴업",10,0))</x:f>
        <x:v>0</x:v>
      </x:c>
      <x:c r="K12" t="n">
        <x:f>SUM(G12:J12)</x:f>
        <x:v>40</x:v>
      </x:c>
      <x:c r="L12" t="str">
        <x:f>IF(K12&gt;=70,"고위험",IF(K12&gt;=40,"주의","일반"))</x:f>
        <x:v>주의</x:v>
      </x:c>
      <x:c r="M12" t="str">
        <x:f>IF(K12&gt;=70,"우선 검토",IF(K12&gt;=40,"모니터링","정기관리"))</x:f>
        <x:v>모니터링</x:v>
      </x:c>
    </x:row>
    <x:row r="13" ht="21" customHeight="1">
      <x:c r="A13" t="str">
        <x:f>업체현황!A13</x:f>
        <x:v>EXA-0012</x:v>
      </x:c>
      <x:c r="B13" t="str">
        <x:f>업체현황!B13</x:f>
        <x:v>동행익스체인지 012호</x:v>
      </x:c>
      <x:c r="C13" t="str">
        <x:f>업체현황!F13</x:f>
        <x:v>단원구</x:v>
      </x:c>
      <x:c r="D13" s="10" t="n">
        <x:f>SUMIFS(연도별실적!$C$2:$C$401,연도별실적!$A$2:$A$401,A13,연도별실적!$B$2:$B$401,2024)</x:f>
        <x:v>85064</x:v>
      </x:c>
      <x:c r="E13" s="10" t="n">
        <x:f>SUMIFS(연도별실적!$C$2:$C$401,연도별실적!$A$2:$A$401,A13,연도별실적!$B$2:$B$401,2025)</x:f>
        <x:v>109072</x:v>
      </x:c>
      <x:c r="F13" s="8" t="n">
        <x:f>IF(D13=0,0,(E13-D13)/D13)</x:f>
        <x:v>0.28223455280729803</x:v>
      </x:c>
      <x:c r="G13" t="n">
        <x:f>IF(ABS(F13)&gt;=0.6,30,IF(ABS(F13)&gt;=0.35,20,IF(ABS(F13)&gt;=0.2,10,0)))</x:f>
        <x:v>10</x:v>
      </x:c>
      <x:c r="H13" t="n">
        <x:f>IF(DATE(2026,10,23)-DATEVALUE(업체현황!O13)&gt;=1095,20,IF(DATE(2026,10,23)-DATEVALUE(업체현황!O13)&gt;=730,15,IF(DATE(2026,10,23)-DATEVALUE(업체현황!O13)&gt;=365,10,0)))</x:f>
        <x:v>10</x:v>
      </x:c>
      <x:c r="I13" t="n">
        <x:f>IF(업체현황!P13="중대",30,IF(업체현황!P13="경미",15,0))</x:f>
        <x:v>0</x:v>
      </x:c>
      <x:c r="J13" t="n">
        <x:f>IF(업체현황!L13="폐업",0,IF(업체현황!L13="휴업",10,0))</x:f>
        <x:v>0</x:v>
      </x:c>
      <x:c r="K13" t="n">
        <x:f>SUM(G13:J13)</x:f>
        <x:v>20</x:v>
      </x:c>
      <x:c r="L13" t="str">
        <x:f>IF(K13&gt;=70,"고위험",IF(K13&gt;=40,"주의","일반"))</x:f>
        <x:v>일반</x:v>
      </x:c>
      <x:c r="M13" t="str">
        <x:f>IF(K13&gt;=70,"우선 검토",IF(K13&gt;=40,"모니터링","정기관리"))</x:f>
        <x:v>정기관리</x:v>
      </x:c>
    </x:row>
    <x:row r="14" ht="21" customHeight="1">
      <x:c r="A14" t="str">
        <x:f>업체현황!A14</x:f>
        <x:v>EXA-0013</x:v>
      </x:c>
      <x:c r="B14" t="str">
        <x:f>업체현황!B14</x:f>
        <x:v>스마트환전소 013호</x:v>
      </x:c>
      <x:c r="C14" t="str">
        <x:f>업체현황!F14</x:f>
        <x:v>단원구</x:v>
      </x:c>
      <x:c r="D14" s="10" t="n">
        <x:f>SUMIFS(연도별실적!$C$2:$C$401,연도별실적!$A$2:$A$401,A14,연도별실적!$B$2:$B$401,2024)</x:f>
        <x:v>140900</x:v>
      </x:c>
      <x:c r="E14" s="10" t="n">
        <x:f>SUMIFS(연도별실적!$C$2:$C$401,연도별실적!$A$2:$A$401,A14,연도별실적!$B$2:$B$401,2025)</x:f>
        <x:v>198331</x:v>
      </x:c>
      <x:c r="F14" s="8" t="n">
        <x:f>IF(D14=0,0,(E14-D14)/D14)</x:f>
        <x:v>0.40760113555713273</x:v>
      </x:c>
      <x:c r="G14" t="n">
        <x:f>IF(ABS(F14)&gt;=0.6,30,IF(ABS(F14)&gt;=0.35,20,IF(ABS(F14)&gt;=0.2,10,0)))</x:f>
        <x:v>20</x:v>
      </x:c>
      <x:c r="H14" t="n">
        <x:f>IF(DATE(2026,10,23)-DATEVALUE(업체현황!O14)&gt;=1095,20,IF(DATE(2026,10,23)-DATEVALUE(업체현황!O14)&gt;=730,15,IF(DATE(2026,10,23)-DATEVALUE(업체현황!O14)&gt;=365,10,0)))</x:f>
        <x:v>0</x:v>
      </x:c>
      <x:c r="I14" t="n">
        <x:f>IF(업체현황!P14="중대",30,IF(업체현황!P14="경미",15,0))</x:f>
        <x:v>0</x:v>
      </x:c>
      <x:c r="J14" t="n">
        <x:f>IF(업체현황!L14="폐업",0,IF(업체현황!L14="휴업",10,0))</x:f>
        <x:v>0</x:v>
      </x:c>
      <x:c r="K14" t="n">
        <x:f>SUM(G14:J14)</x:f>
        <x:v>20</x:v>
      </x:c>
      <x:c r="L14" t="str">
        <x:f>IF(K14&gt;=70,"고위험",IF(K14&gt;=40,"주의","일반"))</x:f>
        <x:v>일반</x:v>
      </x:c>
      <x:c r="M14" t="str">
        <x:f>IF(K14&gt;=70,"우선 검토",IF(K14&gt;=40,"모니터링","정기관리"))</x:f>
        <x:v>정기관리</x:v>
      </x:c>
    </x:row>
    <x:row r="15" ht="21" customHeight="1">
      <x:c r="A15" t="str">
        <x:f>업체현황!A15</x:f>
        <x:v>EXA-0014</x:v>
      </x:c>
      <x:c r="B15" t="str">
        <x:f>업체현황!B15</x:f>
        <x:v>미래플러스환전 014호</x:v>
      </x:c>
      <x:c r="C15" t="str">
        <x:f>업체현황!F15</x:f>
        <x:v>상록구</x:v>
      </x:c>
      <x:c r="D15" s="10" t="n">
        <x:f>SUMIFS(연도별실적!$C$2:$C$401,연도별실적!$A$2:$A$401,A15,연도별실적!$B$2:$B$401,2024)</x:f>
        <x:v>155028</x:v>
      </x:c>
      <x:c r="E15" s="10" t="n">
        <x:f>SUMIFS(연도별실적!$C$2:$C$401,연도별실적!$A$2:$A$401,A15,연도별실적!$B$2:$B$401,2025)</x:f>
        <x:v>217515</x:v>
      </x:c>
      <x:c r="F15" s="8" t="n">
        <x:f>IF(D15=0,0,(E15-D15)/D15)</x:f>
        <x:v>0.403069122997136</x:v>
      </x:c>
      <x:c r="G15" t="n">
        <x:f>IF(ABS(F15)&gt;=0.6,30,IF(ABS(F15)&gt;=0.35,20,IF(ABS(F15)&gt;=0.2,10,0)))</x:f>
        <x:v>20</x:v>
      </x:c>
      <x:c r="H15" t="n">
        <x:f>IF(DATE(2026,10,23)-DATEVALUE(업체현황!O15)&gt;=1095,20,IF(DATE(2026,10,23)-DATEVALUE(업체현황!O15)&gt;=730,15,IF(DATE(2026,10,23)-DATEVALUE(업체현황!O15)&gt;=365,10,0)))</x:f>
        <x:v>10</x:v>
      </x:c>
      <x:c r="I15" t="n">
        <x:f>IF(업체현황!P15="중대",30,IF(업체현황!P15="경미",15,0))</x:f>
        <x:v>0</x:v>
      </x:c>
      <x:c r="J15" t="n">
        <x:f>IF(업체현황!L15="폐업",0,IF(업체현황!L15="휴업",10,0))</x:f>
        <x:v>0</x:v>
      </x:c>
      <x:c r="K15" t="n">
        <x:f>SUM(G15:J15)</x:f>
        <x:v>30</x:v>
      </x:c>
      <x:c r="L15" t="str">
        <x:f>IF(K15&gt;=70,"고위험",IF(K15&gt;=40,"주의","일반"))</x:f>
        <x:v>일반</x:v>
      </x:c>
      <x:c r="M15" t="str">
        <x:f>IF(K15&gt;=70,"우선 검토",IF(K15&gt;=40,"모니터링","정기관리"))</x:f>
        <x:v>정기관리</x:v>
      </x:c>
    </x:row>
    <x:row r="16" ht="21" customHeight="1">
      <x:c r="A16" t="str">
        <x:f>업체현황!A16</x:f>
        <x:v>EXA-0015</x:v>
      </x:c>
      <x:c r="B16" t="str">
        <x:f>업체현황!B16</x:f>
        <x:v>세명환전 015호</x:v>
      </x:c>
      <x:c r="C16" t="str">
        <x:f>업체현황!F16</x:f>
        <x:v>상록구</x:v>
      </x:c>
      <x:c r="D16" s="10" t="n">
        <x:f>SUMIFS(연도별실적!$C$2:$C$401,연도별실적!$A$2:$A$401,A16,연도별실적!$B$2:$B$401,2024)</x:f>
        <x:v>22299</x:v>
      </x:c>
      <x:c r="E16" s="10" t="n">
        <x:f>SUMIFS(연도별실적!$C$2:$C$401,연도별실적!$A$2:$A$401,A16,연도별실적!$B$2:$B$401,2025)</x:f>
        <x:v>35669</x:v>
      </x:c>
      <x:c r="F16" s="8" t="n">
        <x:f>IF(D16=0,0,(E16-D16)/D16)</x:f>
        <x:v>0.5995784564330239</x:v>
      </x:c>
      <x:c r="G16" t="n">
        <x:f>IF(ABS(F16)&gt;=0.6,30,IF(ABS(F16)&gt;=0.35,20,IF(ABS(F16)&gt;=0.2,10,0)))</x:f>
        <x:v>20</x:v>
      </x:c>
      <x:c r="H16" t="n">
        <x:f>IF(DATE(2026,10,23)-DATEVALUE(업체현황!O16)&gt;=1095,20,IF(DATE(2026,10,23)-DATEVALUE(업체현황!O16)&gt;=730,15,IF(DATE(2026,10,23)-DATEVALUE(업체현황!O16)&gt;=365,10,0)))</x:f>
        <x:v>10</x:v>
      </x:c>
      <x:c r="I16" t="n">
        <x:f>IF(업체현황!P16="중대",30,IF(업체현황!P16="경미",15,0))</x:f>
        <x:v>0</x:v>
      </x:c>
      <x:c r="J16" t="n">
        <x:f>IF(업체현황!L16="폐업",0,IF(업체현황!L16="휴업",10,0))</x:f>
        <x:v>0</x:v>
      </x:c>
      <x:c r="K16" t="n">
        <x:f>SUM(G16:J16)</x:f>
        <x:v>30</x:v>
      </x:c>
      <x:c r="L16" t="str">
        <x:f>IF(K16&gt;=70,"고위험",IF(K16&gt;=40,"주의","일반"))</x:f>
        <x:v>일반</x:v>
      </x:c>
      <x:c r="M16" t="str">
        <x:f>IF(K16&gt;=70,"우선 검토",IF(K16&gt;=40,"모니터링","정기관리"))</x:f>
        <x:v>정기관리</x:v>
      </x:c>
    </x:row>
    <x:row r="17" ht="21" customHeight="1">
      <x:c r="A17" t="str">
        <x:f>업체현황!A17</x:f>
        <x:v>EXA-0016</x:v>
      </x:c>
      <x:c r="B17" t="str">
        <x:f>업체현황!B17</x:f>
        <x:v>다정머니체인지 016호</x:v>
      </x:c>
      <x:c r="C17" t="str">
        <x:f>업체현황!F17</x:f>
        <x:v>단원구</x:v>
      </x:c>
      <x:c r="D17" s="10" t="n">
        <x:f>SUMIFS(연도별실적!$C$2:$C$401,연도별실적!$A$2:$A$401,A17,연도별실적!$B$2:$B$401,2024)</x:f>
        <x:v>107244</x:v>
      </x:c>
      <x:c r="E17" s="10" t="n">
        <x:f>SUMIFS(연도별실적!$C$2:$C$401,연도별실적!$A$2:$A$401,A17,연도별실적!$B$2:$B$401,2025)</x:f>
        <x:v>125599</x:v>
      </x:c>
      <x:c r="F17" s="8" t="n">
        <x:f>IF(D17=0,0,(E17-D17)/D17)</x:f>
        <x:v>0.17115176606616686</x:v>
      </x:c>
      <x:c r="G17" t="n">
        <x:f>IF(ABS(F17)&gt;=0.6,30,IF(ABS(F17)&gt;=0.35,20,IF(ABS(F17)&gt;=0.2,10,0)))</x:f>
        <x:v>0</x:v>
      </x:c>
      <x:c r="H17" t="n">
        <x:f>IF(DATE(2026,10,23)-DATEVALUE(업체현황!O17)&gt;=1095,20,IF(DATE(2026,10,23)-DATEVALUE(업체현황!O17)&gt;=730,15,IF(DATE(2026,10,23)-DATEVALUE(업체현황!O17)&gt;=365,10,0)))</x:f>
        <x:v>20</x:v>
      </x:c>
      <x:c r="I17" t="n">
        <x:f>IF(업체현황!P17="중대",30,IF(업체현황!P17="경미",15,0))</x:f>
        <x:v>0</x:v>
      </x:c>
      <x:c r="J17" t="n">
        <x:f>IF(업체현황!L17="폐업",0,IF(업체현황!L17="휴업",10,0))</x:f>
        <x:v>0</x:v>
      </x:c>
      <x:c r="K17" t="n">
        <x:f>SUM(G17:J17)</x:f>
        <x:v>20</x:v>
      </x:c>
      <x:c r="L17" t="str">
        <x:f>IF(K17&gt;=70,"고위험",IF(K17&gt;=40,"주의","일반"))</x:f>
        <x:v>일반</x:v>
      </x:c>
      <x:c r="M17" t="str">
        <x:f>IF(K17&gt;=70,"우선 검토",IF(K17&gt;=40,"모니터링","정기관리"))</x:f>
        <x:v>정기관리</x:v>
      </x:c>
    </x:row>
    <x:row r="18" ht="21" customHeight="1">
      <x:c r="A18" t="str">
        <x:f>업체현황!A18</x:f>
        <x:v>EXA-0017</x:v>
      </x:c>
      <x:c r="B18" t="str">
        <x:f>업체현황!B18</x:f>
        <x:v>국제플러스환전 017호</x:v>
      </x:c>
      <x:c r="C18" t="str">
        <x:f>업체현황!F18</x:f>
        <x:v>상록구</x:v>
      </x:c>
      <x:c r="D18" s="10" t="n">
        <x:f>SUMIFS(연도별실적!$C$2:$C$401,연도별실적!$A$2:$A$401,A18,연도별실적!$B$2:$B$401,2024)</x:f>
        <x:v>28818</x:v>
      </x:c>
      <x:c r="E18" s="10" t="n">
        <x:f>SUMIFS(연도별실적!$C$2:$C$401,연도별실적!$A$2:$A$401,A18,연도별실적!$B$2:$B$401,2025)</x:f>
        <x:v>33069</x:v>
      </x:c>
      <x:c r="F18" s="8" t="n">
        <x:f>IF(D18=0,0,(E18-D18)/D18)</x:f>
        <x:v>0.14751197168436395</x:v>
      </x:c>
      <x:c r="G18" t="n">
        <x:f>IF(ABS(F18)&gt;=0.6,30,IF(ABS(F18)&gt;=0.35,20,IF(ABS(F18)&gt;=0.2,10,0)))</x:f>
        <x:v>0</x:v>
      </x:c>
      <x:c r="H18" t="n">
        <x:f>IF(DATE(2026,10,23)-DATEVALUE(업체현황!O18)&gt;=1095,20,IF(DATE(2026,10,23)-DATEVALUE(업체현황!O18)&gt;=730,15,IF(DATE(2026,10,23)-DATEVALUE(업체현황!O18)&gt;=365,10,0)))</x:f>
        <x:v>20</x:v>
      </x:c>
      <x:c r="I18" t="n">
        <x:f>IF(업체현황!P18="중대",30,IF(업체현황!P18="경미",15,0))</x:f>
        <x:v>15</x:v>
      </x:c>
      <x:c r="J18" t="n">
        <x:f>IF(업체현황!L18="폐업",0,IF(업체현황!L18="휴업",10,0))</x:f>
        <x:v>0</x:v>
      </x:c>
      <x:c r="K18" t="n">
        <x:f>SUM(G18:J18)</x:f>
        <x:v>35</x:v>
      </x:c>
      <x:c r="L18" t="str">
        <x:f>IF(K18&gt;=70,"고위험",IF(K18&gt;=40,"주의","일반"))</x:f>
        <x:v>일반</x:v>
      </x:c>
      <x:c r="M18" t="str">
        <x:f>IF(K18&gt;=70,"우선 검토",IF(K18&gt;=40,"모니터링","정기관리"))</x:f>
        <x:v>정기관리</x:v>
      </x:c>
    </x:row>
    <x:row r="19" ht="21" customHeight="1">
      <x:c r="A19" t="str">
        <x:f>업체현황!A19</x:f>
        <x:v>EXA-0018</x:v>
      </x:c>
      <x:c r="B19" t="str">
        <x:f>업체현황!B19</x:f>
        <x:v>세명스타외환서비스 018호</x:v>
      </x:c>
      <x:c r="C19" t="str">
        <x:f>업체현황!F19</x:f>
        <x:v>상록구</x:v>
      </x:c>
      <x:c r="D19" s="10" t="n">
        <x:f>SUMIFS(연도별실적!$C$2:$C$401,연도별실적!$A$2:$A$401,A19,연도별실적!$B$2:$B$401,2024)</x:f>
        <x:v>170843</x:v>
      </x:c>
      <x:c r="E19" s="10" t="n">
        <x:f>SUMIFS(연도별실적!$C$2:$C$401,연도별실적!$A$2:$A$401,A19,연도별실적!$B$2:$B$401,2025)</x:f>
        <x:v>200260</x:v>
      </x:c>
      <x:c r="F19" s="8" t="n">
        <x:f>IF(D19=0,0,(E19-D19)/D19)</x:f>
        <x:v>0.17218732988767466</x:v>
      </x:c>
      <x:c r="G19" t="n">
        <x:f>IF(ABS(F19)&gt;=0.6,30,IF(ABS(F19)&gt;=0.35,20,IF(ABS(F19)&gt;=0.2,10,0)))</x:f>
        <x:v>0</x:v>
      </x:c>
      <x:c r="H19" t="n">
        <x:f>IF(DATE(2026,10,23)-DATEVALUE(업체현황!O19)&gt;=1095,20,IF(DATE(2026,10,23)-DATEVALUE(업체현황!O19)&gt;=730,15,IF(DATE(2026,10,23)-DATEVALUE(업체현황!O19)&gt;=365,10,0)))</x:f>
        <x:v>20</x:v>
      </x:c>
      <x:c r="I19" t="n">
        <x:f>IF(업체현황!P19="중대",30,IF(업체현황!P19="경미",15,0))</x:f>
        <x:v>0</x:v>
      </x:c>
      <x:c r="J19" t="n">
        <x:f>IF(업체현황!L19="폐업",0,IF(업체현황!L19="휴업",10,0))</x:f>
        <x:v>0</x:v>
      </x:c>
      <x:c r="K19" t="n">
        <x:f>SUM(G19:J19)</x:f>
        <x:v>20</x:v>
      </x:c>
      <x:c r="L19" t="str">
        <x:f>IF(K19&gt;=70,"고위험",IF(K19&gt;=40,"주의","일반"))</x:f>
        <x:v>일반</x:v>
      </x:c>
      <x:c r="M19" t="str">
        <x:f>IF(K19&gt;=70,"우선 검토",IF(K19&gt;=40,"모니터링","정기관리"))</x:f>
        <x:v>정기관리</x:v>
      </x:c>
    </x:row>
    <x:row r="20" ht="21" customHeight="1">
      <x:c r="A20" t="str">
        <x:f>업체현황!A20</x:f>
        <x:v>EXA-0019</x:v>
      </x:c>
      <x:c r="B20" t="str">
        <x:f>업체현황!B20</x:f>
        <x:v>평화플러스환전소 019호</x:v>
      </x:c>
      <x:c r="C20" t="str">
        <x:f>업체현황!F20</x:f>
        <x:v>단원구</x:v>
      </x:c>
      <x:c r="D20" s="10" t="n">
        <x:f>SUMIFS(연도별실적!$C$2:$C$401,연도별실적!$A$2:$A$401,A20,연도별실적!$B$2:$B$401,2024)</x:f>
        <x:v>262964</x:v>
      </x:c>
      <x:c r="E20" s="10" t="n">
        <x:f>SUMIFS(연도별실적!$C$2:$C$401,연도별실적!$A$2:$A$401,A20,연도별실적!$B$2:$B$401,2025)</x:f>
        <x:v>228805</x:v>
      </x:c>
      <x:c r="F20" s="8" t="n">
        <x:f>IF(D20=0,0,(E20-D20)/D20)</x:f>
        <x:v>-0.12989991025387507</x:v>
      </x:c>
      <x:c r="G20" t="n">
        <x:f>IF(ABS(F20)&gt;=0.6,30,IF(ABS(F20)&gt;=0.35,20,IF(ABS(F20)&gt;=0.2,10,0)))</x:f>
        <x:v>0</x:v>
      </x:c>
      <x:c r="H20" t="n">
        <x:f>IF(DATE(2026,10,23)-DATEVALUE(업체현황!O20)&gt;=1095,20,IF(DATE(2026,10,23)-DATEVALUE(업체현황!O20)&gt;=730,15,IF(DATE(2026,10,23)-DATEVALUE(업체현황!O20)&gt;=365,10,0)))</x:f>
        <x:v>20</x:v>
      </x:c>
      <x:c r="I20" t="n">
        <x:f>IF(업체현황!P20="중대",30,IF(업체현황!P20="경미",15,0))</x:f>
        <x:v>0</x:v>
      </x:c>
      <x:c r="J20" t="n">
        <x:f>IF(업체현황!L20="폐업",0,IF(업체현황!L20="휴업",10,0))</x:f>
        <x:v>0</x:v>
      </x:c>
      <x:c r="K20" t="n">
        <x:f>SUM(G20:J20)</x:f>
        <x:v>20</x:v>
      </x:c>
      <x:c r="L20" t="str">
        <x:f>IF(K20&gt;=70,"고위험",IF(K20&gt;=40,"주의","일반"))</x:f>
        <x:v>일반</x:v>
      </x:c>
      <x:c r="M20" t="str">
        <x:f>IF(K20&gt;=70,"우선 검토",IF(K20&gt;=40,"모니터링","정기관리"))</x:f>
        <x:v>정기관리</x:v>
      </x:c>
    </x:row>
    <x:row r="21" ht="21" customHeight="1">
      <x:c r="A21" t="str">
        <x:f>업체현황!A21</x:f>
        <x:v>EXA-0020</x:v>
      </x:c>
      <x:c r="B21" t="str">
        <x:f>업체현황!B21</x:f>
        <x:v>한울프라임익스체인지 020호</x:v>
      </x:c>
      <x:c r="C21" t="str">
        <x:f>업체현황!F21</x:f>
        <x:v>단원구</x:v>
      </x:c>
      <x:c r="D21" s="10" t="n">
        <x:f>SUMIFS(연도별실적!$C$2:$C$401,연도별실적!$A$2:$A$401,A21,연도별실적!$B$2:$B$401,2024)</x:f>
        <x:v>32725</x:v>
      </x:c>
      <x:c r="E21" s="10" t="n">
        <x:f>SUMIFS(연도별실적!$C$2:$C$401,연도별실적!$A$2:$A$401,A21,연도별실적!$B$2:$B$401,2025)</x:f>
        <x:v>35266</x:v>
      </x:c>
      <x:c r="F21" s="8" t="n">
        <x:f>IF(D21=0,0,(E21-D21)/D21)</x:f>
        <x:v>0.07764705882352942</x:v>
      </x:c>
      <x:c r="G21" t="n">
        <x:f>IF(ABS(F21)&gt;=0.6,30,IF(ABS(F21)&gt;=0.35,20,IF(ABS(F21)&gt;=0.2,10,0)))</x:f>
        <x:v>0</x:v>
      </x:c>
      <x:c r="H21" t="n">
        <x:f>IF(DATE(2026,10,23)-DATEVALUE(업체현황!O21)&gt;=1095,20,IF(DATE(2026,10,23)-DATEVALUE(업체현황!O21)&gt;=730,15,IF(DATE(2026,10,23)-DATEVALUE(업체현황!O21)&gt;=365,10,0)))</x:f>
        <x:v>10</x:v>
      </x:c>
      <x:c r="I21" t="n">
        <x:f>IF(업체현황!P21="중대",30,IF(업체현황!P21="경미",15,0))</x:f>
        <x:v>0</x:v>
      </x:c>
      <x:c r="J21" t="n">
        <x:f>IF(업체현황!L21="폐업",0,IF(업체현황!L21="휴업",10,0))</x:f>
        <x:v>0</x:v>
      </x:c>
      <x:c r="K21" t="n">
        <x:f>SUM(G21:J21)</x:f>
        <x:v>10</x:v>
      </x:c>
      <x:c r="L21" t="str">
        <x:f>IF(K21&gt;=70,"고위험",IF(K21&gt;=40,"주의","일반"))</x:f>
        <x:v>일반</x:v>
      </x:c>
      <x:c r="M21" t="str">
        <x:f>IF(K21&gt;=70,"우선 검토",IF(K21&gt;=40,"모니터링","정기관리"))</x:f>
        <x:v>정기관리</x:v>
      </x:c>
    </x:row>
    <x:row r="22" ht="21" customHeight="1">
      <x:c r="A22" t="str">
        <x:f>업체현황!A22</x:f>
        <x:v>EXA-0021</x:v>
      </x:c>
      <x:c r="B22" t="str">
        <x:f>업체현황!B22</x:f>
        <x:v>이음스타환전 021호</x:v>
      </x:c>
      <x:c r="C22" t="str">
        <x:f>업체현황!F22</x:f>
        <x:v>상록구</x:v>
      </x:c>
      <x:c r="D22" s="10" t="n">
        <x:f>SUMIFS(연도별실적!$C$2:$C$401,연도별실적!$A$2:$A$401,A22,연도별실적!$B$2:$B$401,2024)</x:f>
        <x:v>25405</x:v>
      </x:c>
      <x:c r="E22" s="10" t="n">
        <x:f>SUMIFS(연도별실적!$C$2:$C$401,연도별실적!$A$2:$A$401,A22,연도별실적!$B$2:$B$401,2025)</x:f>
        <x:v>37922</x:v>
      </x:c>
      <x:c r="F22" s="8" t="n">
        <x:f>IF(D22=0,0,(E22-D22)/D22)</x:f>
        <x:v>0.4926982877386341</x:v>
      </x:c>
      <x:c r="G22" t="n">
        <x:f>IF(ABS(F22)&gt;=0.6,30,IF(ABS(F22)&gt;=0.35,20,IF(ABS(F22)&gt;=0.2,10,0)))</x:f>
        <x:v>20</x:v>
      </x:c>
      <x:c r="H22" t="n">
        <x:f>IF(DATE(2026,10,23)-DATEVALUE(업체현황!O22)&gt;=1095,20,IF(DATE(2026,10,23)-DATEVALUE(업체현황!O22)&gt;=730,15,IF(DATE(2026,10,23)-DATEVALUE(업체현황!O22)&gt;=365,10,0)))</x:f>
        <x:v>20</x:v>
      </x:c>
      <x:c r="I22" t="n">
        <x:f>IF(업체현황!P22="중대",30,IF(업체현황!P22="경미",15,0))</x:f>
        <x:v>15</x:v>
      </x:c>
      <x:c r="J22" t="n">
        <x:f>IF(업체현황!L22="폐업",0,IF(업체현황!L22="휴업",10,0))</x:f>
        <x:v>0</x:v>
      </x:c>
      <x:c r="K22" t="n">
        <x:f>SUM(G22:J22)</x:f>
        <x:v>55</x:v>
      </x:c>
      <x:c r="L22" t="str">
        <x:f>IF(K22&gt;=70,"고위험",IF(K22&gt;=40,"주의","일반"))</x:f>
        <x:v>주의</x:v>
      </x:c>
      <x:c r="M22" t="str">
        <x:f>IF(K22&gt;=70,"우선 검토",IF(K22&gt;=40,"모니터링","정기관리"))</x:f>
        <x:v>모니터링</x:v>
      </x:c>
    </x:row>
    <x:row r="23" ht="21" customHeight="1">
      <x:c r="A23" t="str">
        <x:f>업체현황!A23</x:f>
        <x:v>EXA-0022</x:v>
      </x:c>
      <x:c r="B23" t="str">
        <x:f>업체현황!B23</x:f>
        <x:v>오션플러스환전 022호</x:v>
      </x:c>
      <x:c r="C23" t="str">
        <x:f>업체현황!F23</x:f>
        <x:v>상록구</x:v>
      </x:c>
      <x:c r="D23" s="10" t="n">
        <x:f>SUMIFS(연도별실적!$C$2:$C$401,연도별실적!$A$2:$A$401,A23,연도별실적!$B$2:$B$401,2024)</x:f>
        <x:v>289909</x:v>
      </x:c>
      <x:c r="E23" s="10" t="n">
        <x:f>SUMIFS(연도별실적!$C$2:$C$401,연도별실적!$A$2:$A$401,A23,연도별실적!$B$2:$B$401,2025)</x:f>
        <x:v>373656</x:v>
      </x:c>
      <x:c r="F23" s="8" t="n">
        <x:f>IF(D23=0,0,(E23-D23)/D23)</x:f>
        <x:v>0.2888734051029806</x:v>
      </x:c>
      <x:c r="G23" t="n">
        <x:f>IF(ABS(F23)&gt;=0.6,30,IF(ABS(F23)&gt;=0.35,20,IF(ABS(F23)&gt;=0.2,10,0)))</x:f>
        <x:v>10</x:v>
      </x:c>
      <x:c r="H23" t="n">
        <x:f>IF(DATE(2026,10,23)-DATEVALUE(업체현황!O23)&gt;=1095,20,IF(DATE(2026,10,23)-DATEVALUE(업체현황!O23)&gt;=730,15,IF(DATE(2026,10,23)-DATEVALUE(업체현황!O23)&gt;=365,10,0)))</x:f>
        <x:v>20</x:v>
      </x:c>
      <x:c r="I23" t="n">
        <x:f>IF(업체현황!P23="중대",30,IF(업체현황!P23="경미",15,0))</x:f>
        <x:v>0</x:v>
      </x:c>
      <x:c r="J23" t="n">
        <x:f>IF(업체현황!L23="폐업",0,IF(업체현황!L23="휴업",10,0))</x:f>
        <x:v>0</x:v>
      </x:c>
      <x:c r="K23" t="n">
        <x:f>SUM(G23:J23)</x:f>
        <x:v>30</x:v>
      </x:c>
      <x:c r="L23" t="str">
        <x:f>IF(K23&gt;=70,"고위험",IF(K23&gt;=40,"주의","일반"))</x:f>
        <x:v>일반</x:v>
      </x:c>
      <x:c r="M23" t="str">
        <x:f>IF(K23&gt;=70,"우선 검토",IF(K23&gt;=40,"모니터링","정기관리"))</x:f>
        <x:v>정기관리</x:v>
      </x:c>
    </x:row>
    <x:row r="24" ht="21" customHeight="1">
      <x:c r="A24" t="str">
        <x:f>업체현황!A24</x:f>
        <x:v>EXA-0023</x:v>
      </x:c>
      <x:c r="B24" t="str">
        <x:f>업체현황!B24</x:f>
        <x:v>대한프라임익스체인지 023호</x:v>
      </x:c>
      <x:c r="C24" t="str">
        <x:f>업체현황!F24</x:f>
        <x:v>단원구</x:v>
      </x:c>
      <x:c r="D24" s="10" t="n">
        <x:f>SUMIFS(연도별실적!$C$2:$C$401,연도별실적!$A$2:$A$401,A24,연도별실적!$B$2:$B$401,2024)</x:f>
        <x:v>214045</x:v>
      </x:c>
      <x:c r="E24" s="10" t="n">
        <x:f>SUMIFS(연도별실적!$C$2:$C$401,연도별실적!$A$2:$A$401,A24,연도별실적!$B$2:$B$401,2025)</x:f>
        <x:v>142874</x:v>
      </x:c>
      <x:c r="F24" s="8" t="n">
        <x:f>IF(D24=0,0,(E24-D24)/D24)</x:f>
        <x:v>-0.3325048471115887</x:v>
      </x:c>
      <x:c r="G24" t="n">
        <x:f>IF(ABS(F24)&gt;=0.6,30,IF(ABS(F24)&gt;=0.35,20,IF(ABS(F24)&gt;=0.2,10,0)))</x:f>
        <x:v>10</x:v>
      </x:c>
      <x:c r="H24" t="n">
        <x:f>IF(DATE(2026,10,23)-DATEVALUE(업체현황!O24)&gt;=1095,20,IF(DATE(2026,10,23)-DATEVALUE(업체현황!O24)&gt;=730,15,IF(DATE(2026,10,23)-DATEVALUE(업체현황!O24)&gt;=365,10,0)))</x:f>
        <x:v>10</x:v>
      </x:c>
      <x:c r="I24" t="n">
        <x:f>IF(업체현황!P24="중대",30,IF(업체현황!P24="경미",15,0))</x:f>
        <x:v>15</x:v>
      </x:c>
      <x:c r="J24" t="n">
        <x:f>IF(업체현황!L24="폐업",0,IF(업체현황!L24="휴업",10,0))</x:f>
        <x:v>0</x:v>
      </x:c>
      <x:c r="K24" t="n">
        <x:f>SUM(G24:J24)</x:f>
        <x:v>35</x:v>
      </x:c>
      <x:c r="L24" t="str">
        <x:f>IF(K24&gt;=70,"고위험",IF(K24&gt;=40,"주의","일반"))</x:f>
        <x:v>일반</x:v>
      </x:c>
      <x:c r="M24" t="str">
        <x:f>IF(K24&gt;=70,"우선 검토",IF(K24&gt;=40,"모니터링","정기관리"))</x:f>
        <x:v>정기관리</x:v>
      </x:c>
    </x:row>
    <x:row r="25" ht="21" customHeight="1">
      <x:c r="A25" t="str">
        <x:f>업체현황!A25</x:f>
        <x:v>EXA-0024</x:v>
      </x:c>
      <x:c r="B25" t="str">
        <x:f>업체현황!B25</x:f>
        <x:v>미래스타환전 024호</x:v>
      </x:c>
      <x:c r="C25" t="str">
        <x:f>업체현황!F25</x:f>
        <x:v>단원구</x:v>
      </x:c>
      <x:c r="D25" s="10" t="n">
        <x:f>SUMIFS(연도별실적!$C$2:$C$401,연도별실적!$A$2:$A$401,A25,연도별실적!$B$2:$B$401,2024)</x:f>
        <x:v>83645</x:v>
      </x:c>
      <x:c r="E25" s="10" t="n">
        <x:f>SUMIFS(연도별실적!$C$2:$C$401,연도별실적!$A$2:$A$401,A25,연도별실적!$B$2:$B$401,2025)</x:f>
        <x:v>133372</x:v>
      </x:c>
      <x:c r="F25" s="8" t="n">
        <x:f>IF(D25=0,0,(E25-D25)/D25)</x:f>
        <x:v>0.5945005678761432</x:v>
      </x:c>
      <x:c r="G25" t="n">
        <x:f>IF(ABS(F25)&gt;=0.6,30,IF(ABS(F25)&gt;=0.35,20,IF(ABS(F25)&gt;=0.2,10,0)))</x:f>
        <x:v>20</x:v>
      </x:c>
      <x:c r="H25" t="n">
        <x:f>IF(DATE(2026,10,23)-DATEVALUE(업체현황!O25)&gt;=1095,20,IF(DATE(2026,10,23)-DATEVALUE(업체현황!O25)&gt;=730,15,IF(DATE(2026,10,23)-DATEVALUE(업체현황!O25)&gt;=365,10,0)))</x:f>
        <x:v>0</x:v>
      </x:c>
      <x:c r="I25" t="n">
        <x:f>IF(업체현황!P25="중대",30,IF(업체현황!P25="경미",15,0))</x:f>
        <x:v>0</x:v>
      </x:c>
      <x:c r="J25" t="n">
        <x:f>IF(업체현황!L25="폐업",0,IF(업체현황!L25="휴업",10,0))</x:f>
        <x:v>0</x:v>
      </x:c>
      <x:c r="K25" t="n">
        <x:f>SUM(G25:J25)</x:f>
        <x:v>20</x:v>
      </x:c>
      <x:c r="L25" t="str">
        <x:f>IF(K25&gt;=70,"고위험",IF(K25&gt;=40,"주의","일반"))</x:f>
        <x:v>일반</x:v>
      </x:c>
      <x:c r="M25" t="str">
        <x:f>IF(K25&gt;=70,"우선 검토",IF(K25&gt;=40,"모니터링","정기관리"))</x:f>
        <x:v>정기관리</x:v>
      </x:c>
    </x:row>
    <x:row r="26" ht="21" customHeight="1">
      <x:c r="A26" t="str">
        <x:f>업체현황!A26</x:f>
        <x:v>EXA-0025</x:v>
      </x:c>
      <x:c r="B26" t="str">
        <x:f>업체현황!B26</x:f>
        <x:v>오션플러스익스체인지 025호</x:v>
      </x:c>
      <x:c r="C26" t="str">
        <x:f>업체현황!F26</x:f>
        <x:v>상록구</x:v>
      </x:c>
      <x:c r="D26" s="10" t="n">
        <x:f>SUMIFS(연도별실적!$C$2:$C$401,연도별실적!$A$2:$A$401,A26,연도별실적!$B$2:$B$401,2024)</x:f>
        <x:v>139386</x:v>
      </x:c>
      <x:c r="E26" s="10" t="n">
        <x:f>SUMIFS(연도별실적!$C$2:$C$401,연도별실적!$A$2:$A$401,A26,연도별실적!$B$2:$B$401,2025)</x:f>
        <x:v>102075</x:v>
      </x:c>
      <x:c r="F26" s="8" t="n">
        <x:f>IF(D26=0,0,(E26-D26)/D26)</x:f>
        <x:v>-0.2676811157505058</x:v>
      </x:c>
      <x:c r="G26" t="n">
        <x:f>IF(ABS(F26)&gt;=0.6,30,IF(ABS(F26)&gt;=0.35,20,IF(ABS(F26)&gt;=0.2,10,0)))</x:f>
        <x:v>10</x:v>
      </x:c>
      <x:c r="H26" t="n">
        <x:f>IF(DATE(2026,10,23)-DATEVALUE(업체현황!O26)&gt;=1095,20,IF(DATE(2026,10,23)-DATEVALUE(업체현황!O26)&gt;=730,15,IF(DATE(2026,10,23)-DATEVALUE(업체현황!O26)&gt;=365,10,0)))</x:f>
        <x:v>20</x:v>
      </x:c>
      <x:c r="I26" t="n">
        <x:f>IF(업체현황!P26="중대",30,IF(업체현황!P26="경미",15,0))</x:f>
        <x:v>30</x:v>
      </x:c>
      <x:c r="J26" t="n">
        <x:f>IF(업체현황!L26="폐업",0,IF(업체현황!L26="휴업",10,0))</x:f>
        <x:v>0</x:v>
      </x:c>
      <x:c r="K26" t="n">
        <x:f>SUM(G26:J26)</x:f>
        <x:v>60</x:v>
      </x:c>
      <x:c r="L26" t="str">
        <x:f>IF(K26&gt;=70,"고위험",IF(K26&gt;=40,"주의","일반"))</x:f>
        <x:v>주의</x:v>
      </x:c>
      <x:c r="M26" t="str">
        <x:f>IF(K26&gt;=70,"우선 검토",IF(K26&gt;=40,"모니터링","정기관리"))</x:f>
        <x:v>모니터링</x:v>
      </x:c>
    </x:row>
    <x:row r="27" ht="21" customHeight="1">
      <x:c r="A27" t="str">
        <x:f>업체현황!A27</x:f>
        <x:v>EXA-0026</x:v>
      </x:c>
      <x:c r="B27" t="str">
        <x:f>업체현황!B27</x:f>
        <x:v>한울프라임머니체인지 026호</x:v>
      </x:c>
      <x:c r="C27" t="str">
        <x:f>업체현황!F27</x:f>
        <x:v>단원구</x:v>
      </x:c>
      <x:c r="D27" s="10" t="n">
        <x:f>SUMIFS(연도별실적!$C$2:$C$401,연도별실적!$A$2:$A$401,A27,연도별실적!$B$2:$B$401,2024)</x:f>
        <x:v>136280</x:v>
      </x:c>
      <x:c r="E27" s="10" t="n">
        <x:f>SUMIFS(연도별실적!$C$2:$C$401,연도별실적!$A$2:$A$401,A27,연도별실적!$B$2:$B$401,2025)</x:f>
        <x:v>221495</x:v>
      </x:c>
      <x:c r="F27" s="8" t="n">
        <x:f>IF(D27=0,0,(E27-D27)/D27)</x:f>
        <x:v>0.6252935133548576</x:v>
      </x:c>
      <x:c r="G27" t="n">
        <x:f>IF(ABS(F27)&gt;=0.6,30,IF(ABS(F27)&gt;=0.35,20,IF(ABS(F27)&gt;=0.2,10,0)))</x:f>
        <x:v>30</x:v>
      </x:c>
      <x:c r="H27" t="n">
        <x:f>IF(DATE(2026,10,23)-DATEVALUE(업체현황!O27)&gt;=1095,20,IF(DATE(2026,10,23)-DATEVALUE(업체현황!O27)&gt;=730,15,IF(DATE(2026,10,23)-DATEVALUE(업체현황!O27)&gt;=365,10,0)))</x:f>
        <x:v>0</x:v>
      </x:c>
      <x:c r="I27" t="n">
        <x:f>IF(업체현황!P27="중대",30,IF(업체현황!P27="경미",15,0))</x:f>
        <x:v>0</x:v>
      </x:c>
      <x:c r="J27" t="n">
        <x:f>IF(업체현황!L27="폐업",0,IF(업체현황!L27="휴업",10,0))</x:f>
        <x:v>0</x:v>
      </x:c>
      <x:c r="K27" t="n">
        <x:f>SUM(G27:J27)</x:f>
        <x:v>30</x:v>
      </x:c>
      <x:c r="L27" t="str">
        <x:f>IF(K27&gt;=70,"고위험",IF(K27&gt;=40,"주의","일반"))</x:f>
        <x:v>일반</x:v>
      </x:c>
      <x:c r="M27" t="str">
        <x:f>IF(K27&gt;=70,"우선 검토",IF(K27&gt;=40,"모니터링","정기관리"))</x:f>
        <x:v>정기관리</x:v>
      </x:c>
    </x:row>
    <x:row r="28" ht="21" customHeight="1">
      <x:c r="A28" t="str">
        <x:f>업체현황!A28</x:f>
        <x:v>EXA-0027</x:v>
      </x:c>
      <x:c r="B28" t="str">
        <x:f>업체현황!B28</x:f>
        <x:v>대한원환전소 027호</x:v>
      </x:c>
      <x:c r="C28" t="str">
        <x:f>업체현황!F28</x:f>
        <x:v>단원구</x:v>
      </x:c>
      <x:c r="D28" s="10" t="n">
        <x:f>SUMIFS(연도별실적!$C$2:$C$401,연도별실적!$A$2:$A$401,A28,연도별실적!$B$2:$B$401,2024)</x:f>
        <x:v>154805</x:v>
      </x:c>
      <x:c r="E28" s="10" t="n">
        <x:f>SUMIFS(연도별실적!$C$2:$C$401,연도별실적!$A$2:$A$401,A28,연도별실적!$B$2:$B$401,2025)</x:f>
        <x:v>170808</x:v>
      </x:c>
      <x:c r="F28" s="8" t="n">
        <x:f>IF(D28=0,0,(E28-D28)/D28)</x:f>
        <x:v>0.10337521397887665</x:v>
      </x:c>
      <x:c r="G28" t="n">
        <x:f>IF(ABS(F28)&gt;=0.6,30,IF(ABS(F28)&gt;=0.35,20,IF(ABS(F28)&gt;=0.2,10,0)))</x:f>
        <x:v>0</x:v>
      </x:c>
      <x:c r="H28" t="n">
        <x:f>IF(DATE(2026,10,23)-DATEVALUE(업체현황!O28)&gt;=1095,20,IF(DATE(2026,10,23)-DATEVALUE(업체현황!O28)&gt;=730,15,IF(DATE(2026,10,23)-DATEVALUE(업체현황!O28)&gt;=365,10,0)))</x:f>
        <x:v>20</x:v>
      </x:c>
      <x:c r="I28" t="n">
        <x:f>IF(업체현황!P28="중대",30,IF(업체현황!P28="경미",15,0))</x:f>
        <x:v>15</x:v>
      </x:c>
      <x:c r="J28" t="n">
        <x:f>IF(업체현황!L28="폐업",0,IF(업체현황!L28="휴업",10,0))</x:f>
        <x:v>0</x:v>
      </x:c>
      <x:c r="K28" t="n">
        <x:f>SUM(G28:J28)</x:f>
        <x:v>35</x:v>
      </x:c>
      <x:c r="L28" t="str">
        <x:f>IF(K28&gt;=70,"고위험",IF(K28&gt;=40,"주의","일반"))</x:f>
        <x:v>일반</x:v>
      </x:c>
      <x:c r="M28" t="str">
        <x:f>IF(K28&gt;=70,"우선 검토",IF(K28&gt;=40,"모니터링","정기관리"))</x:f>
        <x:v>정기관리</x:v>
      </x:c>
    </x:row>
    <x:row r="29" ht="21" customHeight="1">
      <x:c r="A29" t="str">
        <x:f>업체현황!A29</x:f>
        <x:v>EXA-0028</x:v>
      </x:c>
      <x:c r="B29" t="str">
        <x:f>업체현황!B29</x:f>
        <x:v>상록플러스환전소 028호</x:v>
      </x:c>
      <x:c r="C29" t="str">
        <x:f>업체현황!F29</x:f>
        <x:v>상록구</x:v>
      </x:c>
      <x:c r="D29" s="10" t="n">
        <x:f>SUMIFS(연도별실적!$C$2:$C$401,연도별실적!$A$2:$A$401,A29,연도별실적!$B$2:$B$401,2024)</x:f>
        <x:v>52051</x:v>
      </x:c>
      <x:c r="E29" s="10" t="n">
        <x:f>SUMIFS(연도별실적!$C$2:$C$401,연도별실적!$A$2:$A$401,A29,연도별실적!$B$2:$B$401,2025)</x:f>
        <x:v>83707</x:v>
      </x:c>
      <x:c r="F29" s="8" t="n">
        <x:f>IF(D29=0,0,(E29-D29)/D29)</x:f>
        <x:v>0.6081727536454631</x:v>
      </x:c>
      <x:c r="G29" t="n">
        <x:f>IF(ABS(F29)&gt;=0.6,30,IF(ABS(F29)&gt;=0.35,20,IF(ABS(F29)&gt;=0.2,10,0)))</x:f>
        <x:v>30</x:v>
      </x:c>
      <x:c r="H29" t="n">
        <x:f>IF(DATE(2026,10,23)-DATEVALUE(업체현황!O29)&gt;=1095,20,IF(DATE(2026,10,23)-DATEVALUE(업체현황!O29)&gt;=730,15,IF(DATE(2026,10,23)-DATEVALUE(업체현황!O29)&gt;=365,10,0)))</x:f>
        <x:v>15</x:v>
      </x:c>
      <x:c r="I29" t="n">
        <x:f>IF(업체현황!P29="중대",30,IF(업체현황!P29="경미",15,0))</x:f>
        <x:v>0</x:v>
      </x:c>
      <x:c r="J29" t="n">
        <x:f>IF(업체현황!L29="폐업",0,IF(업체현황!L29="휴업",10,0))</x:f>
        <x:v>0</x:v>
      </x:c>
      <x:c r="K29" t="n">
        <x:f>SUM(G29:J29)</x:f>
        <x:v>45</x:v>
      </x:c>
      <x:c r="L29" t="str">
        <x:f>IF(K29&gt;=70,"고위험",IF(K29&gt;=40,"주의","일반"))</x:f>
        <x:v>주의</x:v>
      </x:c>
      <x:c r="M29" t="str">
        <x:f>IF(K29&gt;=70,"우선 검토",IF(K29&gt;=40,"모니터링","정기관리"))</x:f>
        <x:v>모니터링</x:v>
      </x:c>
    </x:row>
    <x:row r="30" ht="21" customHeight="1">
      <x:c r="A30" t="str">
        <x:f>업체현황!A30</x:f>
        <x:v>EXA-0029</x:v>
      </x:c>
      <x:c r="B30" t="str">
        <x:f>업체현황!B30</x:f>
        <x:v>다온환전 029호</x:v>
      </x:c>
      <x:c r="C30" t="str">
        <x:f>업체현황!F30</x:f>
        <x:v>상록구</x:v>
      </x:c>
      <x:c r="D30" s="10" t="n">
        <x:f>SUMIFS(연도별실적!$C$2:$C$401,연도별실적!$A$2:$A$401,A30,연도별실적!$B$2:$B$401,2024)</x:f>
        <x:v>100054</x:v>
      </x:c>
      <x:c r="E30" s="10" t="n">
        <x:f>SUMIFS(연도별실적!$C$2:$C$401,연도별실적!$A$2:$A$401,A30,연도별실적!$B$2:$B$401,2025)</x:f>
        <x:v>56664</x:v>
      </x:c>
      <x:c r="F30" s="8" t="n">
        <x:f>IF(D30=0,0,(E30-D30)/D30)</x:f>
        <x:v>-0.43366582045695323</x:v>
      </x:c>
      <x:c r="G30" t="n">
        <x:f>IF(ABS(F30)&gt;=0.6,30,IF(ABS(F30)&gt;=0.35,20,IF(ABS(F30)&gt;=0.2,10,0)))</x:f>
        <x:v>20</x:v>
      </x:c>
      <x:c r="H30" t="n">
        <x:f>IF(DATE(2026,10,23)-DATEVALUE(업체현황!O30)&gt;=1095,20,IF(DATE(2026,10,23)-DATEVALUE(업체현황!O30)&gt;=730,15,IF(DATE(2026,10,23)-DATEVALUE(업체현황!O30)&gt;=365,10,0)))</x:f>
        <x:v>20</x:v>
      </x:c>
      <x:c r="I30" t="n">
        <x:f>IF(업체현황!P30="중대",30,IF(업체현황!P30="경미",15,0))</x:f>
        <x:v>0</x:v>
      </x:c>
      <x:c r="J30" t="n">
        <x:f>IF(업체현황!L30="폐업",0,IF(업체현황!L30="휴업",10,0))</x:f>
        <x:v>0</x:v>
      </x:c>
      <x:c r="K30" t="n">
        <x:f>SUM(G30:J30)</x:f>
        <x:v>40</x:v>
      </x:c>
      <x:c r="L30" t="str">
        <x:f>IF(K30&gt;=70,"고위험",IF(K30&gt;=40,"주의","일반"))</x:f>
        <x:v>주의</x:v>
      </x:c>
      <x:c r="M30" t="str">
        <x:f>IF(K30&gt;=70,"우선 검토",IF(K30&gt;=40,"모니터링","정기관리"))</x:f>
        <x:v>모니터링</x:v>
      </x:c>
    </x:row>
    <x:row r="31" ht="21" customHeight="1">
      <x:c r="A31" t="str">
        <x:f>업체현황!A31</x:f>
        <x:v>EXA-0030</x:v>
      </x:c>
      <x:c r="B31" t="str">
        <x:f>업체현황!B31</x:f>
        <x:v>대한플러스머니체인지 030호</x:v>
      </x:c>
      <x:c r="C31" t="str">
        <x:f>업체현황!F31</x:f>
        <x:v>단원구</x:v>
      </x:c>
      <x:c r="D31" s="10" t="n">
        <x:f>SUMIFS(연도별실적!$C$2:$C$401,연도별실적!$A$2:$A$401,A31,연도별실적!$B$2:$B$401,2024)</x:f>
        <x:v>109475</x:v>
      </x:c>
      <x:c r="E31" s="10" t="n">
        <x:f>SUMIFS(연도별실적!$C$2:$C$401,연도별실적!$A$2:$A$401,A31,연도별실적!$B$2:$B$401,2025)</x:f>
        <x:v>120752</x:v>
      </x:c>
      <x:c r="F31" s="8" t="n">
        <x:f>IF(D31=0,0,(E31-D31)/D31)</x:f>
        <x:v>0.1030098195935145</x:v>
      </x:c>
      <x:c r="G31" t="n">
        <x:f>IF(ABS(F31)&gt;=0.6,30,IF(ABS(F31)&gt;=0.35,20,IF(ABS(F31)&gt;=0.2,10,0)))</x:f>
        <x:v>0</x:v>
      </x:c>
      <x:c r="H31" t="n">
        <x:f>IF(DATE(2026,10,23)-DATEVALUE(업체현황!O31)&gt;=1095,20,IF(DATE(2026,10,23)-DATEVALUE(업체현황!O31)&gt;=730,15,IF(DATE(2026,10,23)-DATEVALUE(업체현황!O31)&gt;=365,10,0)))</x:f>
        <x:v>20</x:v>
      </x:c>
      <x:c r="I31" t="n">
        <x:f>IF(업체현황!P31="중대",30,IF(업체현황!P31="경미",15,0))</x:f>
        <x:v>0</x:v>
      </x:c>
      <x:c r="J31" t="n">
        <x:f>IF(업체현황!L31="폐업",0,IF(업체현황!L31="휴업",10,0))</x:f>
        <x:v>0</x:v>
      </x:c>
      <x:c r="K31" t="n">
        <x:f>SUM(G31:J31)</x:f>
        <x:v>20</x:v>
      </x:c>
      <x:c r="L31" t="str">
        <x:f>IF(K31&gt;=70,"고위험",IF(K31&gt;=40,"주의","일반"))</x:f>
        <x:v>일반</x:v>
      </x:c>
      <x:c r="M31" t="str">
        <x:f>IF(K31&gt;=70,"우선 검토",IF(K31&gt;=40,"모니터링","정기관리"))</x:f>
        <x:v>정기관리</x:v>
      </x:c>
    </x:row>
    <x:row r="32" ht="21" customHeight="1">
      <x:c r="A32" t="str">
        <x:f>업체현황!A32</x:f>
        <x:v>EXA-0031</x:v>
      </x:c>
      <x:c r="B32" t="str">
        <x:f>업체현황!B32</x:f>
        <x:v>다온프라임환전 031호</x:v>
      </x:c>
      <x:c r="C32" t="str">
        <x:f>업체현황!F32</x:f>
        <x:v>단원구</x:v>
      </x:c>
      <x:c r="D32" s="10" t="n">
        <x:f>SUMIFS(연도별실적!$C$2:$C$401,연도별실적!$A$2:$A$401,A32,연도별실적!$B$2:$B$401,2024)</x:f>
        <x:v>220261</x:v>
      </x:c>
      <x:c r="E32" s="10" t="n">
        <x:f>SUMIFS(연도별실적!$C$2:$C$401,연도별실적!$A$2:$A$401,A32,연도별실적!$B$2:$B$401,2025)</x:f>
        <x:v>362055</x:v>
      </x:c>
      <x:c r="F32" s="8" t="n">
        <x:f>IF(D32=0,0,(E32-D32)/D32)</x:f>
        <x:v>0.6437544549420914</x:v>
      </x:c>
      <x:c r="G32" t="n">
        <x:f>IF(ABS(F32)&gt;=0.6,30,IF(ABS(F32)&gt;=0.35,20,IF(ABS(F32)&gt;=0.2,10,0)))</x:f>
        <x:v>30</x:v>
      </x:c>
      <x:c r="H32" t="n">
        <x:f>IF(DATE(2026,10,23)-DATEVALUE(업체현황!O32)&gt;=1095,20,IF(DATE(2026,10,23)-DATEVALUE(업체현황!O32)&gt;=730,15,IF(DATE(2026,10,23)-DATEVALUE(업체현황!O32)&gt;=365,10,0)))</x:f>
        <x:v>10</x:v>
      </x:c>
      <x:c r="I32" t="n">
        <x:f>IF(업체현황!P32="중대",30,IF(업체현황!P32="경미",15,0))</x:f>
        <x:v>30</x:v>
      </x:c>
      <x:c r="J32" t="n">
        <x:f>IF(업체현황!L32="폐업",0,IF(업체현황!L32="휴업",10,0))</x:f>
        <x:v>0</x:v>
      </x:c>
      <x:c r="K32" t="n">
        <x:f>SUM(G32:J32)</x:f>
        <x:v>70</x:v>
      </x:c>
      <x:c r="L32" t="str">
        <x:f>IF(K32&gt;=70,"고위험",IF(K32&gt;=40,"주의","일반"))</x:f>
        <x:v>고위험</x:v>
      </x:c>
      <x:c r="M32" t="str">
        <x:f>IF(K32&gt;=70,"우선 검토",IF(K32&gt;=40,"모니터링","정기관리"))</x:f>
        <x:v>우선 검토</x:v>
      </x:c>
    </x:row>
    <x:row r="33" ht="21" customHeight="1">
      <x:c r="A33" t="str">
        <x:f>업체현황!A33</x:f>
        <x:v>EXA-0032</x:v>
      </x:c>
      <x:c r="B33" t="str">
        <x:f>업체현황!B33</x:f>
        <x:v>푸른프라임환전 032호</x:v>
      </x:c>
      <x:c r="C33" t="str">
        <x:f>업체현황!F33</x:f>
        <x:v>상록구</x:v>
      </x:c>
      <x:c r="D33" s="10" t="n">
        <x:f>SUMIFS(연도별실적!$C$2:$C$401,연도별실적!$A$2:$A$401,A33,연도별실적!$B$2:$B$401,2024)</x:f>
        <x:v>298699</x:v>
      </x:c>
      <x:c r="E33" s="10" t="n">
        <x:f>SUMIFS(연도별실적!$C$2:$C$401,연도별실적!$A$2:$A$401,A33,연도별실적!$B$2:$B$401,2025)</x:f>
        <x:v>430177</x:v>
      </x:c>
      <x:c r="F33" s="8" t="n">
        <x:f>IF(D33=0,0,(E33-D33)/D33)</x:f>
        <x:v>0.44016886564735735</x:v>
      </x:c>
      <x:c r="G33" t="n">
        <x:f>IF(ABS(F33)&gt;=0.6,30,IF(ABS(F33)&gt;=0.35,20,IF(ABS(F33)&gt;=0.2,10,0)))</x:f>
        <x:v>20</x:v>
      </x:c>
      <x:c r="H33" t="n">
        <x:f>IF(DATE(2026,10,23)-DATEVALUE(업체현황!O33)&gt;=1095,20,IF(DATE(2026,10,23)-DATEVALUE(업체현황!O33)&gt;=730,15,IF(DATE(2026,10,23)-DATEVALUE(업체현황!O33)&gt;=365,10,0)))</x:f>
        <x:v>20</x:v>
      </x:c>
      <x:c r="I33" t="n">
        <x:f>IF(업체현황!P33="중대",30,IF(업체현황!P33="경미",15,0))</x:f>
        <x:v>15</x:v>
      </x:c>
      <x:c r="J33" t="n">
        <x:f>IF(업체현황!L33="폐업",0,IF(업체현황!L33="휴업",10,0))</x:f>
        <x:v>0</x:v>
      </x:c>
      <x:c r="K33" t="n">
        <x:f>SUM(G33:J33)</x:f>
        <x:v>55</x:v>
      </x:c>
      <x:c r="L33" t="str">
        <x:f>IF(K33&gt;=70,"고위험",IF(K33&gt;=40,"주의","일반"))</x:f>
        <x:v>주의</x:v>
      </x:c>
      <x:c r="M33" t="str">
        <x:f>IF(K33&gt;=70,"우선 검토",IF(K33&gt;=40,"모니터링","정기관리"))</x:f>
        <x:v>모니터링</x:v>
      </x:c>
    </x:row>
    <x:row r="34" ht="21" customHeight="1">
      <x:c r="A34" t="str">
        <x:f>업체현황!A34</x:f>
        <x:v>EXA-0033</x:v>
      </x:c>
      <x:c r="B34" t="str">
        <x:f>업체현황!B34</x:f>
        <x:v>푸른환전소 033호</x:v>
      </x:c>
      <x:c r="C34" t="str">
        <x:f>업체현황!F34</x:f>
        <x:v>상록구</x:v>
      </x:c>
      <x:c r="D34" s="10" t="n">
        <x:f>SUMIFS(연도별실적!$C$2:$C$401,연도별실적!$A$2:$A$401,A34,연도별실적!$B$2:$B$401,2024)</x:f>
        <x:v>98882</x:v>
      </x:c>
      <x:c r="E34" s="10" t="n">
        <x:f>SUMIFS(연도별실적!$C$2:$C$401,연도별실적!$A$2:$A$401,A34,연도별실적!$B$2:$B$401,2025)</x:f>
        <x:v>55893</x:v>
      </x:c>
      <x:c r="F34" s="8" t="n">
        <x:f>IF(D34=0,0,(E34-D34)/D34)</x:f>
        <x:v>-0.43475051070973486</x:v>
      </x:c>
      <x:c r="G34" t="n">
        <x:f>IF(ABS(F34)&gt;=0.6,30,IF(ABS(F34)&gt;=0.35,20,IF(ABS(F34)&gt;=0.2,10,0)))</x:f>
        <x:v>20</x:v>
      </x:c>
      <x:c r="H34" t="n">
        <x:f>IF(DATE(2026,10,23)-DATEVALUE(업체현황!O34)&gt;=1095,20,IF(DATE(2026,10,23)-DATEVALUE(업체현황!O34)&gt;=730,15,IF(DATE(2026,10,23)-DATEVALUE(업체현황!O34)&gt;=365,10,0)))</x:f>
        <x:v>20</x:v>
      </x:c>
      <x:c r="I34" t="n">
        <x:f>IF(업체현황!P34="중대",30,IF(업체현황!P34="경미",15,0))</x:f>
        <x:v>15</x:v>
      </x:c>
      <x:c r="J34" t="n">
        <x:f>IF(업체현황!L34="폐업",0,IF(업체현황!L34="휴업",10,0))</x:f>
        <x:v>0</x:v>
      </x:c>
      <x:c r="K34" t="n">
        <x:f>SUM(G34:J34)</x:f>
        <x:v>55</x:v>
      </x:c>
      <x:c r="L34" t="str">
        <x:f>IF(K34&gt;=70,"고위험",IF(K34&gt;=40,"주의","일반"))</x:f>
        <x:v>주의</x:v>
      </x:c>
      <x:c r="M34" t="str">
        <x:f>IF(K34&gt;=70,"우선 검토",IF(K34&gt;=40,"모니터링","정기관리"))</x:f>
        <x:v>모니터링</x:v>
      </x:c>
    </x:row>
    <x:row r="35" ht="21" customHeight="1">
      <x:c r="A35" t="str">
        <x:f>업체현황!A35</x:f>
        <x:v>EXA-0034</x:v>
      </x:c>
      <x:c r="B35" t="str">
        <x:f>업체현황!B35</x:f>
        <x:v>이음원익스체인지 034호</x:v>
      </x:c>
      <x:c r="C35" t="str">
        <x:f>업체현황!F35</x:f>
        <x:v>단원구</x:v>
      </x:c>
      <x:c r="D35" s="10" t="n">
        <x:f>SUMIFS(연도별실적!$C$2:$C$401,연도별실적!$A$2:$A$401,A35,연도별실적!$B$2:$B$401,2024)</x:f>
        <x:v>239285</x:v>
      </x:c>
      <x:c r="E35" s="10" t="n">
        <x:f>SUMIFS(연도별실적!$C$2:$C$401,연도별실적!$A$2:$A$401,A35,연도별실적!$B$2:$B$401,2025)</x:f>
        <x:v>242956</x:v>
      </x:c>
      <x:c r="F35" s="8" t="n">
        <x:f>IF(D35=0,0,(E35-D35)/D35)</x:f>
        <x:v>0.015341538332950247</x:v>
      </x:c>
      <x:c r="G35" t="n">
        <x:f>IF(ABS(F35)&gt;=0.6,30,IF(ABS(F35)&gt;=0.35,20,IF(ABS(F35)&gt;=0.2,10,0)))</x:f>
        <x:v>0</x:v>
      </x:c>
      <x:c r="H35" t="n">
        <x:f>IF(DATE(2026,10,23)-DATEVALUE(업체현황!O35)&gt;=1095,20,IF(DATE(2026,10,23)-DATEVALUE(업체현황!O35)&gt;=730,15,IF(DATE(2026,10,23)-DATEVALUE(업체현황!O35)&gt;=365,10,0)))</x:f>
        <x:v>20</x:v>
      </x:c>
      <x:c r="I35" t="n">
        <x:f>IF(업체현황!P35="중대",30,IF(업체현황!P35="경미",15,0))</x:f>
        <x:v>0</x:v>
      </x:c>
      <x:c r="J35" t="n">
        <x:f>IF(업체현황!L35="폐업",0,IF(업체현황!L35="휴업",10,0))</x:f>
        <x:v>0</x:v>
      </x:c>
      <x:c r="K35" t="n">
        <x:f>SUM(G35:J35)</x:f>
        <x:v>20</x:v>
      </x:c>
      <x:c r="L35" t="str">
        <x:f>IF(K35&gt;=70,"고위험",IF(K35&gt;=40,"주의","일반"))</x:f>
        <x:v>일반</x:v>
      </x:c>
      <x:c r="M35" t="str">
        <x:f>IF(K35&gt;=70,"우선 검토",IF(K35&gt;=40,"모니터링","정기관리"))</x:f>
        <x:v>정기관리</x:v>
      </x:c>
    </x:row>
    <x:row r="36" ht="21" customHeight="1">
      <x:c r="A36" t="str">
        <x:f>업체현황!A36</x:f>
        <x:v>EXA-0035</x:v>
      </x:c>
      <x:c r="B36" t="str">
        <x:f>업체현황!B36</x:f>
        <x:v>한마음스타머니체인지 035호</x:v>
      </x:c>
      <x:c r="C36" t="str">
        <x:f>업체현황!F36</x:f>
        <x:v>상록구</x:v>
      </x:c>
      <x:c r="D36" s="10" t="n">
        <x:f>SUMIFS(연도별실적!$C$2:$C$401,연도별실적!$A$2:$A$401,A36,연도별실적!$B$2:$B$401,2024)</x:f>
        <x:v>212931</x:v>
      </x:c>
      <x:c r="E36" s="10" t="n">
        <x:f>SUMIFS(연도별실적!$C$2:$C$401,연도별실적!$A$2:$A$401,A36,연도별실적!$B$2:$B$401,2025)</x:f>
        <x:v>188569</x:v>
      </x:c>
      <x:c r="F36" s="8" t="n">
        <x:f>IF(D36=0,0,(E36-D36)/D36)</x:f>
        <x:v>-0.11441265010731176</x:v>
      </x:c>
      <x:c r="G36" t="n">
        <x:f>IF(ABS(F36)&gt;=0.6,30,IF(ABS(F36)&gt;=0.35,20,IF(ABS(F36)&gt;=0.2,10,0)))</x:f>
        <x:v>0</x:v>
      </x:c>
      <x:c r="H36" t="n">
        <x:f>IF(DATE(2026,10,23)-DATEVALUE(업체현황!O36)&gt;=1095,20,IF(DATE(2026,10,23)-DATEVALUE(업체현황!O36)&gt;=730,15,IF(DATE(2026,10,23)-DATEVALUE(업체현황!O36)&gt;=365,10,0)))</x:f>
        <x:v>20</x:v>
      </x:c>
      <x:c r="I36" t="n">
        <x:f>IF(업체현황!P36="중대",30,IF(업체현황!P36="경미",15,0))</x:f>
        <x:v>0</x:v>
      </x:c>
      <x:c r="J36" t="n">
        <x:f>IF(업체현황!L36="폐업",0,IF(업체현황!L36="휴업",10,0))</x:f>
        <x:v>0</x:v>
      </x:c>
      <x:c r="K36" t="n">
        <x:f>SUM(G36:J36)</x:f>
        <x:v>20</x:v>
      </x:c>
      <x:c r="L36" t="str">
        <x:f>IF(K36&gt;=70,"고위험",IF(K36&gt;=40,"주의","일반"))</x:f>
        <x:v>일반</x:v>
      </x:c>
      <x:c r="M36" t="str">
        <x:f>IF(K36&gt;=70,"우선 검토",IF(K36&gt;=40,"모니터링","정기관리"))</x:f>
        <x:v>정기관리</x:v>
      </x:c>
    </x:row>
    <x:row r="37" ht="21" customHeight="1">
      <x:c r="A37" t="str">
        <x:f>업체현황!A37</x:f>
        <x:v>EXA-0036</x:v>
      </x:c>
      <x:c r="B37" t="str">
        <x:f>업체현황!B37</x:f>
        <x:v>다정스타머니체인지 036호</x:v>
      </x:c>
      <x:c r="C37" t="str">
        <x:f>업체현황!F37</x:f>
        <x:v>상록구</x:v>
      </x:c>
      <x:c r="D37" s="10" t="n">
        <x:f>SUMIFS(연도별실적!$C$2:$C$401,연도별실적!$A$2:$A$401,A37,연도별실적!$B$2:$B$401,2024)</x:f>
        <x:v>266228</x:v>
      </x:c>
      <x:c r="E37" s="10" t="n">
        <x:f>SUMIFS(연도별실적!$C$2:$C$401,연도별실적!$A$2:$A$401,A37,연도별실적!$B$2:$B$401,2025)</x:f>
        <x:v>259282</x:v>
      </x:c>
      <x:c r="F37" s="8" t="n">
        <x:f>IF(D37=0,0,(E37-D37)/D37)</x:f>
        <x:v>-0.026090418738825366</x:v>
      </x:c>
      <x:c r="G37" t="n">
        <x:f>IF(ABS(F37)&gt;=0.6,30,IF(ABS(F37)&gt;=0.35,20,IF(ABS(F37)&gt;=0.2,10,0)))</x:f>
        <x:v>0</x:v>
      </x:c>
      <x:c r="H37" t="n">
        <x:f>IF(DATE(2026,10,23)-DATEVALUE(업체현황!O37)&gt;=1095,20,IF(DATE(2026,10,23)-DATEVALUE(업체현황!O37)&gt;=730,15,IF(DATE(2026,10,23)-DATEVALUE(업체현황!O37)&gt;=365,10,0)))</x:f>
        <x:v>20</x:v>
      </x:c>
      <x:c r="I37" t="n">
        <x:f>IF(업체현황!P37="중대",30,IF(업체현황!P37="경미",15,0))</x:f>
        <x:v>0</x:v>
      </x:c>
      <x:c r="J37" t="n">
        <x:f>IF(업체현황!L37="폐업",0,IF(업체현황!L37="휴업",10,0))</x:f>
        <x:v>0</x:v>
      </x:c>
      <x:c r="K37" t="n">
        <x:f>SUM(G37:J37)</x:f>
        <x:v>20</x:v>
      </x:c>
      <x:c r="L37" t="str">
        <x:f>IF(K37&gt;=70,"고위험",IF(K37&gt;=40,"주의","일반"))</x:f>
        <x:v>일반</x:v>
      </x:c>
      <x:c r="M37" t="str">
        <x:f>IF(K37&gt;=70,"우선 검토",IF(K37&gt;=40,"모니터링","정기관리"))</x:f>
        <x:v>정기관리</x:v>
      </x:c>
    </x:row>
    <x:row r="38" ht="21" customHeight="1">
      <x:c r="A38" t="str">
        <x:f>업체현황!A38</x:f>
        <x:v>EXA-0037</x:v>
      </x:c>
      <x:c r="B38" t="str">
        <x:f>업체현황!B38</x:f>
        <x:v>이음환전소 037호</x:v>
      </x:c>
      <x:c r="C38" t="str">
        <x:f>업체현황!F38</x:f>
        <x:v>단원구</x:v>
      </x:c>
      <x:c r="D38" s="10" t="n">
        <x:f>SUMIFS(연도별실적!$C$2:$C$401,연도별실적!$A$2:$A$401,A38,연도별실적!$B$2:$B$401,2024)</x:f>
        <x:v>107385</x:v>
      </x:c>
      <x:c r="E38" s="10" t="n">
        <x:f>SUMIFS(연도별실적!$C$2:$C$401,연도별실적!$A$2:$A$401,A38,연도별실적!$B$2:$B$401,2025)</x:f>
        <x:v>87956</x:v>
      </x:c>
      <x:c r="F38" s="8" t="n">
        <x:f>IF(D38=0,0,(E38-D38)/D38)</x:f>
        <x:v>-0.18092843507007497</x:v>
      </x:c>
      <x:c r="G38" t="n">
        <x:f>IF(ABS(F38)&gt;=0.6,30,IF(ABS(F38)&gt;=0.35,20,IF(ABS(F38)&gt;=0.2,10,0)))</x:f>
        <x:v>0</x:v>
      </x:c>
      <x:c r="H38" t="n">
        <x:f>IF(DATE(2026,10,23)-DATEVALUE(업체현황!O38)&gt;=1095,20,IF(DATE(2026,10,23)-DATEVALUE(업체현황!O38)&gt;=730,15,IF(DATE(2026,10,23)-DATEVALUE(업체현황!O38)&gt;=365,10,0)))</x:f>
        <x:v>10</x:v>
      </x:c>
      <x:c r="I38" t="n">
        <x:f>IF(업체현황!P38="중대",30,IF(업체현황!P38="경미",15,0))</x:f>
        <x:v>0</x:v>
      </x:c>
      <x:c r="J38" t="n">
        <x:f>IF(업체현황!L38="폐업",0,IF(업체현황!L38="휴업",10,0))</x:f>
        <x:v>0</x:v>
      </x:c>
      <x:c r="K38" t="n">
        <x:f>SUM(G38:J38)</x:f>
        <x:v>10</x:v>
      </x:c>
      <x:c r="L38" t="str">
        <x:f>IF(K38&gt;=70,"고위험",IF(K38&gt;=40,"주의","일반"))</x:f>
        <x:v>일반</x:v>
      </x:c>
      <x:c r="M38" t="str">
        <x:f>IF(K38&gt;=70,"우선 검토",IF(K38&gt;=40,"모니터링","정기관리"))</x:f>
        <x:v>정기관리</x:v>
      </x:c>
    </x:row>
    <x:row r="39" ht="21" customHeight="1">
      <x:c r="A39" t="str">
        <x:f>업체현황!A39</x:f>
        <x:v>EXA-0038</x:v>
      </x:c>
      <x:c r="B39" t="str">
        <x:f>업체현황!B39</x:f>
        <x:v>다온스타외환서비스 038호</x:v>
      </x:c>
      <x:c r="C39" t="str">
        <x:f>업체현황!F39</x:f>
        <x:v>단원구</x:v>
      </x:c>
      <x:c r="D39" s="10" t="n">
        <x:f>SUMIFS(연도별실적!$C$2:$C$401,연도별실적!$A$2:$A$401,A39,연도별실적!$B$2:$B$401,2024)</x:f>
        <x:v>240834</x:v>
      </x:c>
      <x:c r="E39" s="10" t="n">
        <x:f>SUMIFS(연도별실적!$C$2:$C$401,연도별실적!$A$2:$A$401,A39,연도별실적!$B$2:$B$401,2025)</x:f>
        <x:v>333251</x:v>
      </x:c>
      <x:c r="F39" s="8" t="n">
        <x:f>IF(D39=0,0,(E39-D39)/D39)</x:f>
        <x:v>0.38373734605578946</x:v>
      </x:c>
      <x:c r="G39" t="n">
        <x:f>IF(ABS(F39)&gt;=0.6,30,IF(ABS(F39)&gt;=0.35,20,IF(ABS(F39)&gt;=0.2,10,0)))</x:f>
        <x:v>20</x:v>
      </x:c>
      <x:c r="H39" t="n">
        <x:f>IF(DATE(2026,10,23)-DATEVALUE(업체현황!O39)&gt;=1095,20,IF(DATE(2026,10,23)-DATEVALUE(업체현황!O39)&gt;=730,15,IF(DATE(2026,10,23)-DATEVALUE(업체현황!O39)&gt;=365,10,0)))</x:f>
        <x:v>10</x:v>
      </x:c>
      <x:c r="I39" t="n">
        <x:f>IF(업체현황!P39="중대",30,IF(업체현황!P39="경미",15,0))</x:f>
        <x:v>0</x:v>
      </x:c>
      <x:c r="J39" t="n">
        <x:f>IF(업체현황!L39="폐업",0,IF(업체현황!L39="휴업",10,0))</x:f>
        <x:v>0</x:v>
      </x:c>
      <x:c r="K39" t="n">
        <x:f>SUM(G39:J39)</x:f>
        <x:v>30</x:v>
      </x:c>
      <x:c r="L39" t="str">
        <x:f>IF(K39&gt;=70,"고위험",IF(K39&gt;=40,"주의","일반"))</x:f>
        <x:v>일반</x:v>
      </x:c>
      <x:c r="M39" t="str">
        <x:f>IF(K39&gt;=70,"우선 검토",IF(K39&gt;=40,"모니터링","정기관리"))</x:f>
        <x:v>정기관리</x:v>
      </x:c>
    </x:row>
    <x:row r="40" ht="21" customHeight="1">
      <x:c r="A40" t="str">
        <x:f>업체현황!A40</x:f>
        <x:v>EXA-0039</x:v>
      </x:c>
      <x:c r="B40" t="str">
        <x:f>업체현황!B40</x:f>
        <x:v>스마트프라임환전 039호</x:v>
      </x:c>
      <x:c r="C40" t="str">
        <x:f>업체현황!F40</x:f>
        <x:v>상록구</x:v>
      </x:c>
      <x:c r="D40" s="10" t="n">
        <x:f>SUMIFS(연도별실적!$C$2:$C$401,연도별실적!$A$2:$A$401,A40,연도별실적!$B$2:$B$401,2024)</x:f>
        <x:v>172594</x:v>
      </x:c>
      <x:c r="E40" s="10" t="n">
        <x:f>SUMIFS(연도별실적!$C$2:$C$401,연도별실적!$A$2:$A$401,A40,연도별실적!$B$2:$B$401,2025)</x:f>
        <x:v>239246</x:v>
      </x:c>
      <x:c r="F40" s="8" t="n">
        <x:f>IF(D40=0,0,(E40-D40)/D40)</x:f>
        <x:v>0.38617796678911204</x:v>
      </x:c>
      <x:c r="G40" t="n">
        <x:f>IF(ABS(F40)&gt;=0.6,30,IF(ABS(F40)&gt;=0.35,20,IF(ABS(F40)&gt;=0.2,10,0)))</x:f>
        <x:v>20</x:v>
      </x:c>
      <x:c r="H40" t="n">
        <x:f>IF(DATE(2026,10,23)-DATEVALUE(업체현황!O40)&gt;=1095,20,IF(DATE(2026,10,23)-DATEVALUE(업체현황!O40)&gt;=730,15,IF(DATE(2026,10,23)-DATEVALUE(업체현황!O40)&gt;=365,10,0)))</x:f>
        <x:v>20</x:v>
      </x:c>
      <x:c r="I40" t="n">
        <x:f>IF(업체현황!P40="중대",30,IF(업체현황!P40="경미",15,0))</x:f>
        <x:v>15</x:v>
      </x:c>
      <x:c r="J40" t="n">
        <x:f>IF(업체현황!L40="폐업",0,IF(업체현황!L40="휴업",10,0))</x:f>
        <x:v>0</x:v>
      </x:c>
      <x:c r="K40" t="n">
        <x:f>SUM(G40:J40)</x:f>
        <x:v>55</x:v>
      </x:c>
      <x:c r="L40" t="str">
        <x:f>IF(K40&gt;=70,"고위험",IF(K40&gt;=40,"주의","일반"))</x:f>
        <x:v>주의</x:v>
      </x:c>
      <x:c r="M40" t="str">
        <x:f>IF(K40&gt;=70,"우선 검토",IF(K40&gt;=40,"모니터링","정기관리"))</x:f>
        <x:v>모니터링</x:v>
      </x:c>
    </x:row>
    <x:row r="41" ht="21" customHeight="1">
      <x:c r="A41" t="str">
        <x:f>업체현황!A41</x:f>
        <x:v>EXA-0040</x:v>
      </x:c>
      <x:c r="B41" t="str">
        <x:f>업체현황!B41</x:f>
        <x:v>동서머니체인지 040호</x:v>
      </x:c>
      <x:c r="C41" t="str">
        <x:f>업체현황!F41</x:f>
        <x:v>상록구</x:v>
      </x:c>
      <x:c r="D41" s="10" t="n">
        <x:f>SUMIFS(연도별실적!$C$2:$C$401,연도별실적!$A$2:$A$401,A41,연도별실적!$B$2:$B$401,2024)</x:f>
        <x:v>86976</x:v>
      </x:c>
      <x:c r="E41" s="10" t="n">
        <x:f>SUMIFS(연도별실적!$C$2:$C$401,연도별실적!$A$2:$A$401,A41,연도별실적!$B$2:$B$401,2025)</x:f>
        <x:v>49801</x:v>
      </x:c>
      <x:c r="F41" s="8" t="n">
        <x:f>IF(D41=0,0,(E41-D41)/D41)</x:f>
        <x:v>-0.42741675864606327</x:v>
      </x:c>
      <x:c r="G41" t="n">
        <x:f>IF(ABS(F41)&gt;=0.6,30,IF(ABS(F41)&gt;=0.35,20,IF(ABS(F41)&gt;=0.2,10,0)))</x:f>
        <x:v>20</x:v>
      </x:c>
      <x:c r="H41" t="n">
        <x:f>IF(DATE(2026,10,23)-DATEVALUE(업체현황!O41)&gt;=1095,20,IF(DATE(2026,10,23)-DATEVALUE(업체현황!O41)&gt;=730,15,IF(DATE(2026,10,23)-DATEVALUE(업체현황!O41)&gt;=365,10,0)))</x:f>
        <x:v>20</x:v>
      </x:c>
      <x:c r="I41" t="n">
        <x:f>IF(업체현황!P41="중대",30,IF(업체현황!P41="경미",15,0))</x:f>
        <x:v>0</x:v>
      </x:c>
      <x:c r="J41" t="n">
        <x:f>IF(업체현황!L41="폐업",0,IF(업체현황!L41="휴업",10,0))</x:f>
        <x:v>0</x:v>
      </x:c>
      <x:c r="K41" t="n">
        <x:f>SUM(G41:J41)</x:f>
        <x:v>40</x:v>
      </x:c>
      <x:c r="L41" t="str">
        <x:f>IF(K41&gt;=70,"고위험",IF(K41&gt;=40,"주의","일반"))</x:f>
        <x:v>주의</x:v>
      </x:c>
      <x:c r="M41" t="str">
        <x:f>IF(K41&gt;=70,"우선 검토",IF(K41&gt;=40,"모니터링","정기관리"))</x:f>
        <x:v>모니터링</x:v>
      </x:c>
    </x:row>
    <x:row r="42" ht="21" customHeight="1">
      <x:c r="A42" t="str">
        <x:f>업체현황!A42</x:f>
        <x:v>EXA-0041</x:v>
      </x:c>
      <x:c r="B42" t="str">
        <x:f>업체현황!B42</x:f>
        <x:v>스마트프라임환전소 041호</x:v>
      </x:c>
      <x:c r="C42" t="str">
        <x:f>업체현황!F42</x:f>
        <x:v>단원구</x:v>
      </x:c>
      <x:c r="D42" s="10" t="n">
        <x:f>SUMIFS(연도별실적!$C$2:$C$401,연도별실적!$A$2:$A$401,A42,연도별실적!$B$2:$B$401,2024)</x:f>
        <x:v>157175</x:v>
      </x:c>
      <x:c r="E42" s="10" t="n">
        <x:f>SUMIFS(연도별실적!$C$2:$C$401,연도별실적!$A$2:$A$401,A42,연도별실적!$B$2:$B$401,2025)</x:f>
        <x:v>159145</x:v>
      </x:c>
      <x:c r="F42" s="8" t="n">
        <x:f>IF(D42=0,0,(E42-D42)/D42)</x:f>
        <x:v>0.012533799904564975</x:v>
      </x:c>
      <x:c r="G42" t="n">
        <x:f>IF(ABS(F42)&gt;=0.6,30,IF(ABS(F42)&gt;=0.35,20,IF(ABS(F42)&gt;=0.2,10,0)))</x:f>
        <x:v>0</x:v>
      </x:c>
      <x:c r="H42" t="n">
        <x:f>IF(DATE(2026,10,23)-DATEVALUE(업체현황!O42)&gt;=1095,20,IF(DATE(2026,10,23)-DATEVALUE(업체현황!O42)&gt;=730,15,IF(DATE(2026,10,23)-DATEVALUE(업체현황!O42)&gt;=365,10,0)))</x:f>
        <x:v>20</x:v>
      </x:c>
      <x:c r="I42" t="n">
        <x:f>IF(업체현황!P42="중대",30,IF(업체현황!P42="경미",15,0))</x:f>
        <x:v>0</x:v>
      </x:c>
      <x:c r="J42" t="n">
        <x:f>IF(업체현황!L42="폐업",0,IF(업체현황!L42="휴업",10,0))</x:f>
        <x:v>0</x:v>
      </x:c>
      <x:c r="K42" t="n">
        <x:f>SUM(G42:J42)</x:f>
        <x:v>20</x:v>
      </x:c>
      <x:c r="L42" t="str">
        <x:f>IF(K42&gt;=70,"고위험",IF(K42&gt;=40,"주의","일반"))</x:f>
        <x:v>일반</x:v>
      </x:c>
      <x:c r="M42" t="str">
        <x:f>IF(K42&gt;=70,"우선 검토",IF(K42&gt;=40,"모니터링","정기관리"))</x:f>
        <x:v>정기관리</x:v>
      </x:c>
    </x:row>
    <x:row r="43" ht="21" customHeight="1">
      <x:c r="A43" t="str">
        <x:f>업체현황!A43</x:f>
        <x:v>EXA-0042</x:v>
      </x:c>
      <x:c r="B43" t="str">
        <x:f>업체현황!B43</x:f>
        <x:v>나래원익스체인지 042호</x:v>
      </x:c>
      <x:c r="C43" t="str">
        <x:f>업체현황!F43</x:f>
        <x:v>상록구</x:v>
      </x:c>
      <x:c r="D43" s="10" t="n">
        <x:f>SUMIFS(연도별실적!$C$2:$C$401,연도별실적!$A$2:$A$401,A43,연도별실적!$B$2:$B$401,2024)</x:f>
        <x:v>168201</x:v>
      </x:c>
      <x:c r="E43" s="10" t="n">
        <x:f>SUMIFS(연도별실적!$C$2:$C$401,연도별실적!$A$2:$A$401,A43,연도별실적!$B$2:$B$401,2025)</x:f>
        <x:v>98932</x:v>
      </x:c>
      <x:c r="F43" s="8" t="n">
        <x:f>IF(D43=0,0,(E43-D43)/D43)</x:f>
        <x:v>-0.41182275967443716</x:v>
      </x:c>
      <x:c r="G43" t="n">
        <x:f>IF(ABS(F43)&gt;=0.6,30,IF(ABS(F43)&gt;=0.35,20,IF(ABS(F43)&gt;=0.2,10,0)))</x:f>
        <x:v>20</x:v>
      </x:c>
      <x:c r="H43" t="n">
        <x:f>IF(DATE(2026,10,23)-DATEVALUE(업체현황!O43)&gt;=1095,20,IF(DATE(2026,10,23)-DATEVALUE(업체현황!O43)&gt;=730,15,IF(DATE(2026,10,23)-DATEVALUE(업체현황!O43)&gt;=365,10,0)))</x:f>
        <x:v>20</x:v>
      </x:c>
      <x:c r="I43" t="n">
        <x:f>IF(업체현황!P43="중대",30,IF(업체현황!P43="경미",15,0))</x:f>
        <x:v>0</x:v>
      </x:c>
      <x:c r="J43" t="n">
        <x:f>IF(업체현황!L43="폐업",0,IF(업체현황!L43="휴업",10,0))</x:f>
        <x:v>0</x:v>
      </x:c>
      <x:c r="K43" t="n">
        <x:f>SUM(G43:J43)</x:f>
        <x:v>40</x:v>
      </x:c>
      <x:c r="L43" t="str">
        <x:f>IF(K43&gt;=70,"고위험",IF(K43&gt;=40,"주의","일반"))</x:f>
        <x:v>주의</x:v>
      </x:c>
      <x:c r="M43" t="str">
        <x:f>IF(K43&gt;=70,"우선 검토",IF(K43&gt;=40,"모니터링","정기관리"))</x:f>
        <x:v>모니터링</x:v>
      </x:c>
    </x:row>
    <x:row r="44" ht="21" customHeight="1">
      <x:c r="A44" t="str">
        <x:f>업체현황!A44</x:f>
        <x:v>EXA-0043</x:v>
      </x:c>
      <x:c r="B44" t="str">
        <x:f>업체현황!B44</x:f>
        <x:v>오션외환서비스 043호</x:v>
      </x:c>
      <x:c r="C44" t="str">
        <x:f>업체현황!F44</x:f>
        <x:v>상록구</x:v>
      </x:c>
      <x:c r="D44" s="10" t="n">
        <x:f>SUMIFS(연도별실적!$C$2:$C$401,연도별실적!$A$2:$A$401,A44,연도별실적!$B$2:$B$401,2024)</x:f>
        <x:v>70010</x:v>
      </x:c>
      <x:c r="E44" s="10" t="n">
        <x:f>SUMIFS(연도별실적!$C$2:$C$401,연도별실적!$A$2:$A$401,A44,연도별실적!$B$2:$B$401,2025)</x:f>
        <x:v>83065</x:v>
      </x:c>
      <x:c r="F44" s="8" t="n">
        <x:f>IF(D44=0,0,(E44-D44)/D44)</x:f>
        <x:v>0.18647336094843595</x:v>
      </x:c>
      <x:c r="G44" t="n">
        <x:f>IF(ABS(F44)&gt;=0.6,30,IF(ABS(F44)&gt;=0.35,20,IF(ABS(F44)&gt;=0.2,10,0)))</x:f>
        <x:v>0</x:v>
      </x:c>
      <x:c r="H44" t="n">
        <x:f>IF(DATE(2026,10,23)-DATEVALUE(업체현황!O44)&gt;=1095,20,IF(DATE(2026,10,23)-DATEVALUE(업체현황!O44)&gt;=730,15,IF(DATE(2026,10,23)-DATEVALUE(업체현황!O44)&gt;=365,10,0)))</x:f>
        <x:v>10</x:v>
      </x:c>
      <x:c r="I44" t="n">
        <x:f>IF(업체현황!P44="중대",30,IF(업체현황!P44="경미",15,0))</x:f>
        <x:v>0</x:v>
      </x:c>
      <x:c r="J44" t="n">
        <x:f>IF(업체현황!L44="폐업",0,IF(업체현황!L44="휴업",10,0))</x:f>
        <x:v>10</x:v>
      </x:c>
      <x:c r="K44" t="n">
        <x:f>SUM(G44:J44)</x:f>
        <x:v>20</x:v>
      </x:c>
      <x:c r="L44" t="str">
        <x:f>IF(K44&gt;=70,"고위험",IF(K44&gt;=40,"주의","일반"))</x:f>
        <x:v>일반</x:v>
      </x:c>
      <x:c r="M44" t="str">
        <x:f>IF(K44&gt;=70,"우선 검토",IF(K44&gt;=40,"모니터링","정기관리"))</x:f>
        <x:v>정기관리</x:v>
      </x:c>
    </x:row>
    <x:row r="45" ht="21" customHeight="1">
      <x:c r="A45" t="str">
        <x:f>업체현황!A45</x:f>
        <x:v>EXA-0044</x:v>
      </x:c>
      <x:c r="B45" t="str">
        <x:f>업체현황!B45</x:f>
        <x:v>세명원익스체인지 044호</x:v>
      </x:c>
      <x:c r="C45" t="str">
        <x:f>업체현황!F45</x:f>
        <x:v>단원구</x:v>
      </x:c>
      <x:c r="D45" s="10" t="n">
        <x:f>SUMIFS(연도별실적!$C$2:$C$401,연도별실적!$A$2:$A$401,A45,연도별실적!$B$2:$B$401,2024)</x:f>
        <x:v>355759</x:v>
      </x:c>
      <x:c r="E45" s="10" t="n">
        <x:f>SUMIFS(연도별실적!$C$2:$C$401,연도별실적!$A$2:$A$401,A45,연도별실적!$B$2:$B$401,2025)</x:f>
        <x:v>459170</x:v>
      </x:c>
      <x:c r="F45" s="8" t="n">
        <x:f>IF(D45=0,0,(E45-D45)/D45)</x:f>
        <x:v>0.29067711568786736</x:v>
      </x:c>
      <x:c r="G45" t="n">
        <x:f>IF(ABS(F45)&gt;=0.6,30,IF(ABS(F45)&gt;=0.35,20,IF(ABS(F45)&gt;=0.2,10,0)))</x:f>
        <x:v>10</x:v>
      </x:c>
      <x:c r="H45" t="n">
        <x:f>IF(DATE(2026,10,23)-DATEVALUE(업체현황!O45)&gt;=1095,20,IF(DATE(2026,10,23)-DATEVALUE(업체현황!O45)&gt;=730,15,IF(DATE(2026,10,23)-DATEVALUE(업체현황!O45)&gt;=365,10,0)))</x:f>
        <x:v>20</x:v>
      </x:c>
      <x:c r="I45" t="n">
        <x:f>IF(업체현황!P45="중대",30,IF(업체현황!P45="경미",15,0))</x:f>
        <x:v>0</x:v>
      </x:c>
      <x:c r="J45" t="n">
        <x:f>IF(업체현황!L45="폐업",0,IF(업체현황!L45="휴업",10,0))</x:f>
        <x:v>0</x:v>
      </x:c>
      <x:c r="K45" t="n">
        <x:f>SUM(G45:J45)</x:f>
        <x:v>30</x:v>
      </x:c>
      <x:c r="L45" t="str">
        <x:f>IF(K45&gt;=70,"고위험",IF(K45&gt;=40,"주의","일반"))</x:f>
        <x:v>일반</x:v>
      </x:c>
      <x:c r="M45" t="str">
        <x:f>IF(K45&gt;=70,"우선 검토",IF(K45&gt;=40,"모니터링","정기관리"))</x:f>
        <x:v>정기관리</x:v>
      </x:c>
    </x:row>
    <x:row r="46" ht="21" customHeight="1">
      <x:c r="A46" t="str">
        <x:f>업체현황!A46</x:f>
        <x:v>EXA-0045</x:v>
      </x:c>
      <x:c r="B46" t="str">
        <x:f>업체현황!B46</x:f>
        <x:v>세계원머니체인지 045호</x:v>
      </x:c>
      <x:c r="C46" t="str">
        <x:f>업체현황!F46</x:f>
        <x:v>단원구</x:v>
      </x:c>
      <x:c r="D46" s="10" t="n">
        <x:f>SUMIFS(연도별실적!$C$2:$C$401,연도별실적!$A$2:$A$401,A46,연도별실적!$B$2:$B$401,2024)</x:f>
        <x:v>92974</x:v>
      </x:c>
      <x:c r="E46" s="10" t="n">
        <x:f>SUMIFS(연도별실적!$C$2:$C$401,연도별실적!$A$2:$A$401,A46,연도별실적!$B$2:$B$401,2025)</x:f>
        <x:v>90159</x:v>
      </x:c>
      <x:c r="F46" s="8" t="n">
        <x:f>IF(D46=0,0,(E46-D46)/D46)</x:f>
        <x:v>-0.03027728182072407</x:v>
      </x:c>
      <x:c r="G46" t="n">
        <x:f>IF(ABS(F46)&gt;=0.6,30,IF(ABS(F46)&gt;=0.35,20,IF(ABS(F46)&gt;=0.2,10,0)))</x:f>
        <x:v>0</x:v>
      </x:c>
      <x:c r="H46" t="n">
        <x:f>IF(DATE(2026,10,23)-DATEVALUE(업체현황!O46)&gt;=1095,20,IF(DATE(2026,10,23)-DATEVALUE(업체현황!O46)&gt;=730,15,IF(DATE(2026,10,23)-DATEVALUE(업체현황!O46)&gt;=365,10,0)))</x:f>
        <x:v>20</x:v>
      </x:c>
      <x:c r="I46" t="n">
        <x:f>IF(업체현황!P46="중대",30,IF(업체현황!P46="경미",15,0))</x:f>
        <x:v>0</x:v>
      </x:c>
      <x:c r="J46" t="n">
        <x:f>IF(업체현황!L46="폐업",0,IF(업체현황!L46="휴업",10,0))</x:f>
        <x:v>10</x:v>
      </x:c>
      <x:c r="K46" t="n">
        <x:f>SUM(G46:J46)</x:f>
        <x:v>30</x:v>
      </x:c>
      <x:c r="L46" t="str">
        <x:f>IF(K46&gt;=70,"고위험",IF(K46&gt;=40,"주의","일반"))</x:f>
        <x:v>일반</x:v>
      </x:c>
      <x:c r="M46" t="str">
        <x:f>IF(K46&gt;=70,"우선 검토",IF(K46&gt;=40,"모니터링","정기관리"))</x:f>
        <x:v>정기관리</x:v>
      </x:c>
    </x:row>
    <x:row r="47" ht="21" customHeight="1">
      <x:c r="A47" t="str">
        <x:f>업체현황!A47</x:f>
        <x:v>EXA-0046</x:v>
      </x:c>
      <x:c r="B47" t="str">
        <x:f>업체현황!B47</x:f>
        <x:v>상록원머니체인지 046호</x:v>
      </x:c>
      <x:c r="C47" t="str">
        <x:f>업체현황!F47</x:f>
        <x:v>상록구</x:v>
      </x:c>
      <x:c r="D47" s="10" t="n">
        <x:f>SUMIFS(연도별실적!$C$2:$C$401,연도별실적!$A$2:$A$401,A47,연도별실적!$B$2:$B$401,2024)</x:f>
        <x:v>194276</x:v>
      </x:c>
      <x:c r="E47" s="10" t="n">
        <x:f>SUMIFS(연도별실적!$C$2:$C$401,연도별실적!$A$2:$A$401,A47,연도별실적!$B$2:$B$401,2025)</x:f>
        <x:v>300915</x:v>
      </x:c>
      <x:c r="F47" s="8" t="n">
        <x:f>IF(D47=0,0,(E47-D47)/D47)</x:f>
        <x:v>0.5489046511149087</x:v>
      </x:c>
      <x:c r="G47" t="n">
        <x:f>IF(ABS(F47)&gt;=0.6,30,IF(ABS(F47)&gt;=0.35,20,IF(ABS(F47)&gt;=0.2,10,0)))</x:f>
        <x:v>20</x:v>
      </x:c>
      <x:c r="H47" t="n">
        <x:f>IF(DATE(2026,10,23)-DATEVALUE(업체현황!O47)&gt;=1095,20,IF(DATE(2026,10,23)-DATEVALUE(업체현황!O47)&gt;=730,15,IF(DATE(2026,10,23)-DATEVALUE(업체현황!O47)&gt;=365,10,0)))</x:f>
        <x:v>20</x:v>
      </x:c>
      <x:c r="I47" t="n">
        <x:f>IF(업체현황!P47="중대",30,IF(업체현황!P47="경미",15,0))</x:f>
        <x:v>15</x:v>
      </x:c>
      <x:c r="J47" t="n">
        <x:f>IF(업체현황!L47="폐업",0,IF(업체현황!L47="휴업",10,0))</x:f>
        <x:v>0</x:v>
      </x:c>
      <x:c r="K47" t="n">
        <x:f>SUM(G47:J47)</x:f>
        <x:v>55</x:v>
      </x:c>
      <x:c r="L47" t="str">
        <x:f>IF(K47&gt;=70,"고위험",IF(K47&gt;=40,"주의","일반"))</x:f>
        <x:v>주의</x:v>
      </x:c>
      <x:c r="M47" t="str">
        <x:f>IF(K47&gt;=70,"우선 검토",IF(K47&gt;=40,"모니터링","정기관리"))</x:f>
        <x:v>모니터링</x:v>
      </x:c>
    </x:row>
    <x:row r="48" ht="21" customHeight="1">
      <x:c r="A48" t="str">
        <x:f>업체현황!A48</x:f>
        <x:v>EXA-0047</x:v>
      </x:c>
      <x:c r="B48" t="str">
        <x:f>업체현황!B48</x:f>
        <x:v>미래원환전 047호</x:v>
      </x:c>
      <x:c r="C48" t="str">
        <x:f>업체현황!F48</x:f>
        <x:v>상록구</x:v>
      </x:c>
      <x:c r="D48" s="10" t="n">
        <x:f>SUMIFS(연도별실적!$C$2:$C$401,연도별실적!$A$2:$A$401,A48,연도별실적!$B$2:$B$401,2024)</x:f>
        <x:v>111182</x:v>
      </x:c>
      <x:c r="E48" s="10" t="n">
        <x:f>SUMIFS(연도별실적!$C$2:$C$401,연도별실적!$A$2:$A$401,A48,연도별실적!$B$2:$B$401,2025)</x:f>
        <x:v>64540</x:v>
      </x:c>
      <x:c r="F48" s="8" t="n">
        <x:f>IF(D48=0,0,(E48-D48)/D48)</x:f>
        <x:v>-0.41951035239517187</x:v>
      </x:c>
      <x:c r="G48" t="n">
        <x:f>IF(ABS(F48)&gt;=0.6,30,IF(ABS(F48)&gt;=0.35,20,IF(ABS(F48)&gt;=0.2,10,0)))</x:f>
        <x:v>20</x:v>
      </x:c>
      <x:c r="H48" t="n">
        <x:f>IF(DATE(2026,10,23)-DATEVALUE(업체현황!O48)&gt;=1095,20,IF(DATE(2026,10,23)-DATEVALUE(업체현황!O48)&gt;=730,15,IF(DATE(2026,10,23)-DATEVALUE(업체현황!O48)&gt;=365,10,0)))</x:f>
        <x:v>20</x:v>
      </x:c>
      <x:c r="I48" t="n">
        <x:f>IF(업체현황!P48="중대",30,IF(업체현황!P48="경미",15,0))</x:f>
        <x:v>30</x:v>
      </x:c>
      <x:c r="J48" t="n">
        <x:f>IF(업체현황!L48="폐업",0,IF(업체현황!L48="휴업",10,0))</x:f>
        <x:v>0</x:v>
      </x:c>
      <x:c r="K48" t="n">
        <x:f>SUM(G48:J48)</x:f>
        <x:v>70</x:v>
      </x:c>
      <x:c r="L48" t="str">
        <x:f>IF(K48&gt;=70,"고위험",IF(K48&gt;=40,"주의","일반"))</x:f>
        <x:v>고위험</x:v>
      </x:c>
      <x:c r="M48" t="str">
        <x:f>IF(K48&gt;=70,"우선 검토",IF(K48&gt;=40,"모니터링","정기관리"))</x:f>
        <x:v>우선 검토</x:v>
      </x:c>
    </x:row>
    <x:row r="49" ht="21" customHeight="1">
      <x:c r="A49" t="str">
        <x:f>업체현황!A49</x:f>
        <x:v>EXA-0048</x:v>
      </x:c>
      <x:c r="B49" t="str">
        <x:f>업체현황!B49</x:f>
        <x:v>안산플러스환전소 048호</x:v>
      </x:c>
      <x:c r="C49" t="str">
        <x:f>업체현황!F49</x:f>
        <x:v>단원구</x:v>
      </x:c>
      <x:c r="D49" s="10" t="n">
        <x:f>SUMIFS(연도별실적!$C$2:$C$401,연도별실적!$A$2:$A$401,A49,연도별실적!$B$2:$B$401,2024)</x:f>
        <x:v>179405</x:v>
      </x:c>
      <x:c r="E49" s="10" t="n">
        <x:f>SUMIFS(연도별실적!$C$2:$C$401,연도별실적!$A$2:$A$401,A49,연도별실적!$B$2:$B$401,2025)</x:f>
        <x:v>215189</x:v>
      </x:c>
      <x:c r="F49" s="8" t="n">
        <x:f>IF(D49=0,0,(E49-D49)/D49)</x:f>
        <x:v>0.19945932387614615</x:v>
      </x:c>
      <x:c r="G49" t="n">
        <x:f>IF(ABS(F49)&gt;=0.6,30,IF(ABS(F49)&gt;=0.35,20,IF(ABS(F49)&gt;=0.2,10,0)))</x:f>
        <x:v>0</x:v>
      </x:c>
      <x:c r="H49" t="n">
        <x:f>IF(DATE(2026,10,23)-DATEVALUE(업체현황!O49)&gt;=1095,20,IF(DATE(2026,10,23)-DATEVALUE(업체현황!O49)&gt;=730,15,IF(DATE(2026,10,23)-DATEVALUE(업체현황!O49)&gt;=365,10,0)))</x:f>
        <x:v>20</x:v>
      </x:c>
      <x:c r="I49" t="n">
        <x:f>IF(업체현황!P49="중대",30,IF(업체현황!P49="경미",15,0))</x:f>
        <x:v>0</x:v>
      </x:c>
      <x:c r="J49" t="n">
        <x:f>IF(업체현황!L49="폐업",0,IF(업체현황!L49="휴업",10,0))</x:f>
        <x:v>0</x:v>
      </x:c>
      <x:c r="K49" t="n">
        <x:f>SUM(G49:J49)</x:f>
        <x:v>20</x:v>
      </x:c>
      <x:c r="L49" t="str">
        <x:f>IF(K49&gt;=70,"고위험",IF(K49&gt;=40,"주의","일반"))</x:f>
        <x:v>일반</x:v>
      </x:c>
      <x:c r="M49" t="str">
        <x:f>IF(K49&gt;=70,"우선 검토",IF(K49&gt;=40,"모니터링","정기관리"))</x:f>
        <x:v>정기관리</x:v>
      </x:c>
    </x:row>
    <x:row r="50" ht="21" customHeight="1">
      <x:c r="A50" t="str">
        <x:f>업체현황!A50</x:f>
        <x:v>EXA-0049</x:v>
      </x:c>
      <x:c r="B50" t="str">
        <x:f>업체현황!B50</x:f>
        <x:v>다정익스체인지 049호</x:v>
      </x:c>
      <x:c r="C50" t="str">
        <x:f>업체현황!F50</x:f>
        <x:v>단원구</x:v>
      </x:c>
      <x:c r="D50" s="10" t="n">
        <x:f>SUMIFS(연도별실적!$C$2:$C$401,연도별실적!$A$2:$A$401,A50,연도별실적!$B$2:$B$401,2024)</x:f>
        <x:v>184518</x:v>
      </x:c>
      <x:c r="E50" s="10" t="n">
        <x:f>SUMIFS(연도별실적!$C$2:$C$401,연도별실적!$A$2:$A$401,A50,연도별실적!$B$2:$B$401,2025)</x:f>
        <x:v>122977</x:v>
      </x:c>
      <x:c r="F50" s="8" t="n">
        <x:f>IF(D50=0,0,(E50-D50)/D50)</x:f>
        <x:v>-0.33352301672465556</x:v>
      </x:c>
      <x:c r="G50" t="n">
        <x:f>IF(ABS(F50)&gt;=0.6,30,IF(ABS(F50)&gt;=0.35,20,IF(ABS(F50)&gt;=0.2,10,0)))</x:f>
        <x:v>10</x:v>
      </x:c>
      <x:c r="H50" t="n">
        <x:f>IF(DATE(2026,10,23)-DATEVALUE(업체현황!O50)&gt;=1095,20,IF(DATE(2026,10,23)-DATEVALUE(업체현황!O50)&gt;=730,15,IF(DATE(2026,10,23)-DATEVALUE(업체현황!O50)&gt;=365,10,0)))</x:f>
        <x:v>15</x:v>
      </x:c>
      <x:c r="I50" t="n">
        <x:f>IF(업체현황!P50="중대",30,IF(업체현황!P50="경미",15,0))</x:f>
        <x:v>15</x:v>
      </x:c>
      <x:c r="J50" t="n">
        <x:f>IF(업체현황!L50="폐업",0,IF(업체현황!L50="휴업",10,0))</x:f>
        <x:v>0</x:v>
      </x:c>
      <x:c r="K50" t="n">
        <x:f>SUM(G50:J50)</x:f>
        <x:v>40</x:v>
      </x:c>
      <x:c r="L50" t="str">
        <x:f>IF(K50&gt;=70,"고위험",IF(K50&gt;=40,"주의","일반"))</x:f>
        <x:v>주의</x:v>
      </x:c>
      <x:c r="M50" t="str">
        <x:f>IF(K50&gt;=70,"우선 검토",IF(K50&gt;=40,"모니터링","정기관리"))</x:f>
        <x:v>모니터링</x:v>
      </x:c>
    </x:row>
    <x:row r="51" ht="21" customHeight="1">
      <x:c r="A51" t="str">
        <x:f>업체현황!A51</x:f>
        <x:v>EXA-0050</x:v>
      </x:c>
      <x:c r="B51" t="str">
        <x:f>업체현황!B51</x:f>
        <x:v>동서원외환서비스 050호</x:v>
      </x:c>
      <x:c r="C51" t="str">
        <x:f>업체현황!F51</x:f>
        <x:v>상록구</x:v>
      </x:c>
      <x:c r="D51" s="10" t="n">
        <x:f>SUMIFS(연도별실적!$C$2:$C$401,연도별실적!$A$2:$A$401,A51,연도별실적!$B$2:$B$401,2024)</x:f>
        <x:v>330362</x:v>
      </x:c>
      <x:c r="E51" s="10" t="n">
        <x:f>SUMIFS(연도별실적!$C$2:$C$401,연도별실적!$A$2:$A$401,A51,연도별실적!$B$2:$B$401,2025)</x:f>
        <x:v>430146</x:v>
      </x:c>
      <x:c r="F51" s="8" t="n">
        <x:f>IF(D51=0,0,(E51-D51)/D51)</x:f>
        <x:v>0.30204442399549586</x:v>
      </x:c>
      <x:c r="G51" t="n">
        <x:f>IF(ABS(F51)&gt;=0.6,30,IF(ABS(F51)&gt;=0.35,20,IF(ABS(F51)&gt;=0.2,10,0)))</x:f>
        <x:v>10</x:v>
      </x:c>
      <x:c r="H51" t="n">
        <x:f>IF(DATE(2026,10,23)-DATEVALUE(업체현황!O51)&gt;=1095,20,IF(DATE(2026,10,23)-DATEVALUE(업체현황!O51)&gt;=730,15,IF(DATE(2026,10,23)-DATEVALUE(업체현황!O51)&gt;=365,10,0)))</x:f>
        <x:v>15</x:v>
      </x:c>
      <x:c r="I51" t="n">
        <x:f>IF(업체현황!P51="중대",30,IF(업체현황!P51="경미",15,0))</x:f>
        <x:v>0</x:v>
      </x:c>
      <x:c r="J51" t="n">
        <x:f>IF(업체현황!L51="폐업",0,IF(업체현황!L51="휴업",10,0))</x:f>
        <x:v>0</x:v>
      </x:c>
      <x:c r="K51" t="n">
        <x:f>SUM(G51:J51)</x:f>
        <x:v>25</x:v>
      </x:c>
      <x:c r="L51" t="str">
        <x:f>IF(K51&gt;=70,"고위험",IF(K51&gt;=40,"주의","일반"))</x:f>
        <x:v>일반</x:v>
      </x:c>
      <x:c r="M51" t="str">
        <x:f>IF(K51&gt;=70,"우선 검토",IF(K51&gt;=40,"모니터링","정기관리"))</x:f>
        <x:v>정기관리</x:v>
      </x:c>
    </x:row>
    <x:row r="52" ht="21" customHeight="1">
      <x:c r="A52" t="str">
        <x:f>업체현황!A52</x:f>
        <x:v>EXA-0051</x:v>
      </x:c>
      <x:c r="B52" t="str">
        <x:f>업체현황!B52</x:f>
        <x:v>단원스타머니체인지 051호</x:v>
      </x:c>
      <x:c r="C52" t="str">
        <x:f>업체현황!F52</x:f>
        <x:v>단원구</x:v>
      </x:c>
      <x:c r="D52" s="10" t="n">
        <x:f>SUMIFS(연도별실적!$C$2:$C$401,연도별실적!$A$2:$A$401,A52,연도별실적!$B$2:$B$401,2024)</x:f>
        <x:v>46258</x:v>
      </x:c>
      <x:c r="E52" s="10" t="n">
        <x:f>SUMIFS(연도별실적!$C$2:$C$401,연도별실적!$A$2:$A$401,A52,연도별실적!$B$2:$B$401,2025)</x:f>
        <x:v>55495</x:v>
      </x:c>
      <x:c r="F52" s="8" t="n">
        <x:f>IF(D52=0,0,(E52-D52)/D52)</x:f>
        <x:v>0.19968437891824117</x:v>
      </x:c>
      <x:c r="G52" t="n">
        <x:f>IF(ABS(F52)&gt;=0.6,30,IF(ABS(F52)&gt;=0.35,20,IF(ABS(F52)&gt;=0.2,10,0)))</x:f>
        <x:v>0</x:v>
      </x:c>
      <x:c r="H52" t="n">
        <x:f>IF(DATE(2026,10,23)-DATEVALUE(업체현황!O52)&gt;=1095,20,IF(DATE(2026,10,23)-DATEVALUE(업체현황!O52)&gt;=730,15,IF(DATE(2026,10,23)-DATEVALUE(업체현황!O52)&gt;=365,10,0)))</x:f>
        <x:v>20</x:v>
      </x:c>
      <x:c r="I52" t="n">
        <x:f>IF(업체현황!P52="중대",30,IF(업체현황!P52="경미",15,0))</x:f>
        <x:v>0</x:v>
      </x:c>
      <x:c r="J52" t="n">
        <x:f>IF(업체현황!L52="폐업",0,IF(업체현황!L52="휴업",10,0))</x:f>
        <x:v>0</x:v>
      </x:c>
      <x:c r="K52" t="n">
        <x:f>SUM(G52:J52)</x:f>
        <x:v>20</x:v>
      </x:c>
      <x:c r="L52" t="str">
        <x:f>IF(K52&gt;=70,"고위험",IF(K52&gt;=40,"주의","일반"))</x:f>
        <x:v>일반</x:v>
      </x:c>
      <x:c r="M52" t="str">
        <x:f>IF(K52&gt;=70,"우선 검토",IF(K52&gt;=40,"모니터링","정기관리"))</x:f>
        <x:v>정기관리</x:v>
      </x:c>
    </x:row>
    <x:row r="53" ht="21" customHeight="1">
      <x:c r="A53" t="str">
        <x:f>업체현황!A53</x:f>
        <x:v>EXA-0052</x:v>
      </x:c>
      <x:c r="B53" t="str">
        <x:f>업체현황!B53</x:f>
        <x:v>다온원환전소 052호</x:v>
      </x:c>
      <x:c r="C53" t="str">
        <x:f>업체현황!F53</x:f>
        <x:v>단원구</x:v>
      </x:c>
      <x:c r="D53" s="10" t="n">
        <x:f>SUMIFS(연도별실적!$C$2:$C$401,연도별실적!$A$2:$A$401,A53,연도별실적!$B$2:$B$401,2024)</x:f>
        <x:v>330764</x:v>
      </x:c>
      <x:c r="E53" s="10" t="n">
        <x:f>SUMIFS(연도별실적!$C$2:$C$401,연도별실적!$A$2:$A$401,A53,연도별실적!$B$2:$B$401,2025)</x:f>
        <x:v>490330</x:v>
      </x:c>
      <x:c r="F53" s="8" t="n">
        <x:f>IF(D53=0,0,(E53-D53)/D53)</x:f>
        <x:v>0.4824164661208596</x:v>
      </x:c>
      <x:c r="G53" t="n">
        <x:f>IF(ABS(F53)&gt;=0.6,30,IF(ABS(F53)&gt;=0.35,20,IF(ABS(F53)&gt;=0.2,10,0)))</x:f>
        <x:v>20</x:v>
      </x:c>
      <x:c r="H53" t="n">
        <x:f>IF(DATE(2026,10,23)-DATEVALUE(업체현황!O53)&gt;=1095,20,IF(DATE(2026,10,23)-DATEVALUE(업체현황!O53)&gt;=730,15,IF(DATE(2026,10,23)-DATEVALUE(업체현황!O53)&gt;=365,10,0)))</x:f>
        <x:v>10</x:v>
      </x:c>
      <x:c r="I53" t="n">
        <x:f>IF(업체현황!P53="중대",30,IF(업체현황!P53="경미",15,0))</x:f>
        <x:v>15</x:v>
      </x:c>
      <x:c r="J53" t="n">
        <x:f>IF(업체현황!L53="폐업",0,IF(업체현황!L53="휴업",10,0))</x:f>
        <x:v>10</x:v>
      </x:c>
      <x:c r="K53" t="n">
        <x:f>SUM(G53:J53)</x:f>
        <x:v>55</x:v>
      </x:c>
      <x:c r="L53" t="str">
        <x:f>IF(K53&gt;=70,"고위험",IF(K53&gt;=40,"주의","일반"))</x:f>
        <x:v>주의</x:v>
      </x:c>
      <x:c r="M53" t="str">
        <x:f>IF(K53&gt;=70,"우선 검토",IF(K53&gt;=40,"모니터링","정기관리"))</x:f>
        <x:v>모니터링</x:v>
      </x:c>
    </x:row>
    <x:row r="54" ht="21" customHeight="1">
      <x:c r="A54" t="str">
        <x:f>업체현황!A54</x:f>
        <x:v>EXA-0053</x:v>
      </x:c>
      <x:c r="B54" t="str">
        <x:f>업체현황!B54</x:f>
        <x:v>이음프라임환전 053호</x:v>
      </x:c>
      <x:c r="C54" t="str">
        <x:f>업체현황!F54</x:f>
        <x:v>상록구</x:v>
      </x:c>
      <x:c r="D54" s="10" t="n">
        <x:f>SUMIFS(연도별실적!$C$2:$C$401,연도별실적!$A$2:$A$401,A54,연도별실적!$B$2:$B$401,2024)</x:f>
        <x:v>68385</x:v>
      </x:c>
      <x:c r="E54" s="10" t="n">
        <x:f>SUMIFS(연도별실적!$C$2:$C$401,연도별실적!$A$2:$A$401,A54,연도별실적!$B$2:$B$401,2025)</x:f>
        <x:v>88343</x:v>
      </x:c>
      <x:c r="F54" s="8" t="n">
        <x:f>IF(D54=0,0,(E54-D54)/D54)</x:f>
        <x:v>0.2918476274036704</x:v>
      </x:c>
      <x:c r="G54" t="n">
        <x:f>IF(ABS(F54)&gt;=0.6,30,IF(ABS(F54)&gt;=0.35,20,IF(ABS(F54)&gt;=0.2,10,0)))</x:f>
        <x:v>10</x:v>
      </x:c>
      <x:c r="H54" t="n">
        <x:f>IF(DATE(2026,10,23)-DATEVALUE(업체현황!O54)&gt;=1095,20,IF(DATE(2026,10,23)-DATEVALUE(업체현황!O54)&gt;=730,15,IF(DATE(2026,10,23)-DATEVALUE(업체현황!O54)&gt;=365,10,0)))</x:f>
        <x:v>20</x:v>
      </x:c>
      <x:c r="I54" t="n">
        <x:f>IF(업체현황!P54="중대",30,IF(업체현황!P54="경미",15,0))</x:f>
        <x:v>0</x:v>
      </x:c>
      <x:c r="J54" t="n">
        <x:f>IF(업체현황!L54="폐업",0,IF(업체현황!L54="휴업",10,0))</x:f>
        <x:v>0</x:v>
      </x:c>
      <x:c r="K54" t="n">
        <x:f>SUM(G54:J54)</x:f>
        <x:v>30</x:v>
      </x:c>
      <x:c r="L54" t="str">
        <x:f>IF(K54&gt;=70,"고위험",IF(K54&gt;=40,"주의","일반"))</x:f>
        <x:v>일반</x:v>
      </x:c>
      <x:c r="M54" t="str">
        <x:f>IF(K54&gt;=70,"우선 검토",IF(K54&gt;=40,"모니터링","정기관리"))</x:f>
        <x:v>정기관리</x:v>
      </x:c>
    </x:row>
    <x:row r="55" ht="21" customHeight="1">
      <x:c r="A55" t="str">
        <x:f>업체현황!A55</x:f>
        <x:v>EXA-0054</x:v>
      </x:c>
      <x:c r="B55" t="str">
        <x:f>업체현황!B55</x:f>
        <x:v>안산플러스머니체인지 054호</x:v>
      </x:c>
      <x:c r="C55" t="str">
        <x:f>업체현황!F55</x:f>
        <x:v>상록구</x:v>
      </x:c>
      <x:c r="D55" s="10" t="n">
        <x:f>SUMIFS(연도별실적!$C$2:$C$401,연도별실적!$A$2:$A$401,A55,연도별실적!$B$2:$B$401,2024)</x:f>
        <x:v>239791</x:v>
      </x:c>
      <x:c r="E55" s="10" t="n">
        <x:f>SUMIFS(연도별실적!$C$2:$C$401,연도별실적!$A$2:$A$401,A55,연도별실적!$B$2:$B$401,2025)</x:f>
        <x:v>248805</x:v>
      </x:c>
      <x:c r="F55" s="8" t="n">
        <x:f>IF(D55=0,0,(E55-D55)/D55)</x:f>
        <x:v>0.03759106888915764</x:v>
      </x:c>
      <x:c r="G55" t="n">
        <x:f>IF(ABS(F55)&gt;=0.6,30,IF(ABS(F55)&gt;=0.35,20,IF(ABS(F55)&gt;=0.2,10,0)))</x:f>
        <x:v>0</x:v>
      </x:c>
      <x:c r="H55" t="n">
        <x:f>IF(DATE(2026,10,23)-DATEVALUE(업체현황!O55)&gt;=1095,20,IF(DATE(2026,10,23)-DATEVALUE(업체현황!O55)&gt;=730,15,IF(DATE(2026,10,23)-DATEVALUE(업체현황!O55)&gt;=365,10,0)))</x:f>
        <x:v>0</x:v>
      </x:c>
      <x:c r="I55" t="n">
        <x:f>IF(업체현황!P55="중대",30,IF(업체현황!P55="경미",15,0))</x:f>
        <x:v>15</x:v>
      </x:c>
      <x:c r="J55" t="n">
        <x:f>IF(업체현황!L55="폐업",0,IF(업체현황!L55="휴업",10,0))</x:f>
        <x:v>10</x:v>
      </x:c>
      <x:c r="K55" t="n">
        <x:f>SUM(G55:J55)</x:f>
        <x:v>25</x:v>
      </x:c>
      <x:c r="L55" t="str">
        <x:f>IF(K55&gt;=70,"고위험",IF(K55&gt;=40,"주의","일반"))</x:f>
        <x:v>일반</x:v>
      </x:c>
      <x:c r="M55" t="str">
        <x:f>IF(K55&gt;=70,"우선 검토",IF(K55&gt;=40,"모니터링","정기관리"))</x:f>
        <x:v>정기관리</x:v>
      </x:c>
    </x:row>
    <x:row r="56" ht="21" customHeight="1">
      <x:c r="A56" t="str">
        <x:f>업체현황!A56</x:f>
        <x:v>EXA-0055</x:v>
      </x:c>
      <x:c r="B56" t="str">
        <x:f>업체현황!B56</x:f>
        <x:v>스마트스타머니체인지 055호</x:v>
      </x:c>
      <x:c r="C56" t="str">
        <x:f>업체현황!F56</x:f>
        <x:v>단원구</x:v>
      </x:c>
      <x:c r="D56" s="10" t="n">
        <x:f>SUMIFS(연도별실적!$C$2:$C$401,연도별실적!$A$2:$A$401,A56,연도별실적!$B$2:$B$401,2024)</x:f>
        <x:v>74287</x:v>
      </x:c>
      <x:c r="E56" s="10" t="n">
        <x:f>SUMIFS(연도별실적!$C$2:$C$401,연도별실적!$A$2:$A$401,A56,연도별실적!$B$2:$B$401,2025)</x:f>
        <x:v>101644</x:v>
      </x:c>
      <x:c r="F56" s="8" t="n">
        <x:f>IF(D56=0,0,(E56-D56)/D56)</x:f>
        <x:v>0.368260933945374</x:v>
      </x:c>
      <x:c r="G56" t="n">
        <x:f>IF(ABS(F56)&gt;=0.6,30,IF(ABS(F56)&gt;=0.35,20,IF(ABS(F56)&gt;=0.2,10,0)))</x:f>
        <x:v>20</x:v>
      </x:c>
      <x:c r="H56" t="n">
        <x:f>IF(DATE(2026,10,23)-DATEVALUE(업체현황!O56)&gt;=1095,20,IF(DATE(2026,10,23)-DATEVALUE(업체현황!O56)&gt;=730,15,IF(DATE(2026,10,23)-DATEVALUE(업체현황!O56)&gt;=365,10,0)))</x:f>
        <x:v>20</x:v>
      </x:c>
      <x:c r="I56" t="n">
        <x:f>IF(업체현황!P56="중대",30,IF(업체현황!P56="경미",15,0))</x:f>
        <x:v>30</x:v>
      </x:c>
      <x:c r="J56" t="n">
        <x:f>IF(업체현황!L56="폐업",0,IF(업체현황!L56="휴업",10,0))</x:f>
        <x:v>0</x:v>
      </x:c>
      <x:c r="K56" t="n">
        <x:f>SUM(G56:J56)</x:f>
        <x:v>70</x:v>
      </x:c>
      <x:c r="L56" t="str">
        <x:f>IF(K56&gt;=70,"고위험",IF(K56&gt;=40,"주의","일반"))</x:f>
        <x:v>고위험</x:v>
      </x:c>
      <x:c r="M56" t="str">
        <x:f>IF(K56&gt;=70,"우선 검토",IF(K56&gt;=40,"모니터링","정기관리"))</x:f>
        <x:v>우선 검토</x:v>
      </x:c>
    </x:row>
    <x:row r="57" ht="21" customHeight="1">
      <x:c r="A57" t="str">
        <x:f>업체현황!A57</x:f>
        <x:v>EXA-0056</x:v>
      </x:c>
      <x:c r="B57" t="str">
        <x:f>업체현황!B57</x:f>
        <x:v>한마음프라임환전소 056호</x:v>
      </x:c>
      <x:c r="C57" t="str">
        <x:f>업체현황!F57</x:f>
        <x:v>단원구</x:v>
      </x:c>
      <x:c r="D57" s="10" t="n">
        <x:f>SUMIFS(연도별실적!$C$2:$C$401,연도별실적!$A$2:$A$401,A57,연도별실적!$B$2:$B$401,2024)</x:f>
        <x:v>135799</x:v>
      </x:c>
      <x:c r="E57" s="10" t="n">
        <x:f>SUMIFS(연도별실적!$C$2:$C$401,연도별실적!$A$2:$A$401,A57,연도별실적!$B$2:$B$401,2025)</x:f>
        <x:v>83429</x:v>
      </x:c>
      <x:c r="F57" s="8" t="n">
        <x:f>IF(D57=0,0,(E57-D57)/D57)</x:f>
        <x:v>-0.3856434878018248</x:v>
      </x:c>
      <x:c r="G57" t="n">
        <x:f>IF(ABS(F57)&gt;=0.6,30,IF(ABS(F57)&gt;=0.35,20,IF(ABS(F57)&gt;=0.2,10,0)))</x:f>
        <x:v>20</x:v>
      </x:c>
      <x:c r="H57" t="n">
        <x:f>IF(DATE(2026,10,23)-DATEVALUE(업체현황!O57)&gt;=1095,20,IF(DATE(2026,10,23)-DATEVALUE(업체현황!O57)&gt;=730,15,IF(DATE(2026,10,23)-DATEVALUE(업체현황!O57)&gt;=365,10,0)))</x:f>
        <x:v>20</x:v>
      </x:c>
      <x:c r="I57" t="n">
        <x:f>IF(업체현황!P57="중대",30,IF(업체현황!P57="경미",15,0))</x:f>
        <x:v>0</x:v>
      </x:c>
      <x:c r="J57" t="n">
        <x:f>IF(업체현황!L57="폐업",0,IF(업체현황!L57="휴업",10,0))</x:f>
        <x:v>0</x:v>
      </x:c>
      <x:c r="K57" t="n">
        <x:f>SUM(G57:J57)</x:f>
        <x:v>40</x:v>
      </x:c>
      <x:c r="L57" t="str">
        <x:f>IF(K57&gt;=70,"고위험",IF(K57&gt;=40,"주의","일반"))</x:f>
        <x:v>주의</x:v>
      </x:c>
      <x:c r="M57" t="str">
        <x:f>IF(K57&gt;=70,"우선 검토",IF(K57&gt;=40,"모니터링","정기관리"))</x:f>
        <x:v>모니터링</x:v>
      </x:c>
    </x:row>
    <x:row r="58" ht="21" customHeight="1">
      <x:c r="A58" t="str">
        <x:f>업체현황!A58</x:f>
        <x:v>EXA-0057</x:v>
      </x:c>
      <x:c r="B58" t="str">
        <x:f>업체현황!B58</x:f>
        <x:v>태양프라임머니체인지 057호</x:v>
      </x:c>
      <x:c r="C58" t="str">
        <x:f>업체현황!F58</x:f>
        <x:v>상록구</x:v>
      </x:c>
      <x:c r="D58" s="10" t="n">
        <x:f>SUMIFS(연도별실적!$C$2:$C$401,연도별실적!$A$2:$A$401,A58,연도별실적!$B$2:$B$401,2024)</x:f>
        <x:v>87121</x:v>
      </x:c>
      <x:c r="E58" s="10" t="n">
        <x:f>SUMIFS(연도별실적!$C$2:$C$401,연도별실적!$A$2:$A$401,A58,연도별실적!$B$2:$B$401,2025)</x:f>
        <x:v>117718</x:v>
      </x:c>
      <x:c r="F58" s="8" t="n">
        <x:f>IF(D58=0,0,(E58-D58)/D58)</x:f>
        <x:v>0.351201202924668</x:v>
      </x:c>
      <x:c r="G58" t="n">
        <x:f>IF(ABS(F58)&gt;=0.6,30,IF(ABS(F58)&gt;=0.35,20,IF(ABS(F58)&gt;=0.2,10,0)))</x:f>
        <x:v>20</x:v>
      </x:c>
      <x:c r="H58" t="n">
        <x:f>IF(DATE(2026,10,23)-DATEVALUE(업체현황!O58)&gt;=1095,20,IF(DATE(2026,10,23)-DATEVALUE(업체현황!O58)&gt;=730,15,IF(DATE(2026,10,23)-DATEVALUE(업체현황!O58)&gt;=365,10,0)))</x:f>
        <x:v>10</x:v>
      </x:c>
      <x:c r="I58" t="n">
        <x:f>IF(업체현황!P58="중대",30,IF(업체현황!P58="경미",15,0))</x:f>
        <x:v>0</x:v>
      </x:c>
      <x:c r="J58" t="n">
        <x:f>IF(업체현황!L58="폐업",0,IF(업체현황!L58="휴업",10,0))</x:f>
        <x:v>0</x:v>
      </x:c>
      <x:c r="K58" t="n">
        <x:f>SUM(G58:J58)</x:f>
        <x:v>30</x:v>
      </x:c>
      <x:c r="L58" t="str">
        <x:f>IF(K58&gt;=70,"고위험",IF(K58&gt;=40,"주의","일반"))</x:f>
        <x:v>일반</x:v>
      </x:c>
      <x:c r="M58" t="str">
        <x:f>IF(K58&gt;=70,"우선 검토",IF(K58&gt;=40,"모니터링","정기관리"))</x:f>
        <x:v>정기관리</x:v>
      </x:c>
    </x:row>
    <x:row r="59" ht="21" customHeight="1">
      <x:c r="A59" t="str">
        <x:f>업체현황!A59</x:f>
        <x:v>EXA-0058</x:v>
      </x:c>
      <x:c r="B59" t="str">
        <x:f>업체현황!B59</x:f>
        <x:v>글로벌프라임환전 058호</x:v>
      </x:c>
      <x:c r="C59" t="str">
        <x:f>업체현황!F59</x:f>
        <x:v>상록구</x:v>
      </x:c>
      <x:c r="D59" s="10" t="n">
        <x:f>SUMIFS(연도별실적!$C$2:$C$401,연도별실적!$A$2:$A$401,A59,연도별실적!$B$2:$B$401,2024)</x:f>
        <x:v>99430</x:v>
      </x:c>
      <x:c r="E59" s="10" t="n">
        <x:f>SUMIFS(연도별실적!$C$2:$C$401,연도별실적!$A$2:$A$401,A59,연도별실적!$B$2:$B$401,2025)</x:f>
        <x:v>117684</x:v>
      </x:c>
      <x:c r="F59" s="8" t="n">
        <x:f>IF(D59=0,0,(E59-D59)/D59)</x:f>
        <x:v>0.1835864427235241</x:v>
      </x:c>
      <x:c r="G59" t="n">
        <x:f>IF(ABS(F59)&gt;=0.6,30,IF(ABS(F59)&gt;=0.35,20,IF(ABS(F59)&gt;=0.2,10,0)))</x:f>
        <x:v>0</x:v>
      </x:c>
      <x:c r="H59" t="n">
        <x:f>IF(DATE(2026,10,23)-DATEVALUE(업체현황!O59)&gt;=1095,20,IF(DATE(2026,10,23)-DATEVALUE(업체현황!O59)&gt;=730,15,IF(DATE(2026,10,23)-DATEVALUE(업체현황!O59)&gt;=365,10,0)))</x:f>
        <x:v>20</x:v>
      </x:c>
      <x:c r="I59" t="n">
        <x:f>IF(업체현황!P59="중대",30,IF(업체현황!P59="경미",15,0))</x:f>
        <x:v>0</x:v>
      </x:c>
      <x:c r="J59" t="n">
        <x:f>IF(업체현황!L59="폐업",0,IF(업체현황!L59="휴업",10,0))</x:f>
        <x:v>0</x:v>
      </x:c>
      <x:c r="K59" t="n">
        <x:f>SUM(G59:J59)</x:f>
        <x:v>20</x:v>
      </x:c>
      <x:c r="L59" t="str">
        <x:f>IF(K59&gt;=70,"고위험",IF(K59&gt;=40,"주의","일반"))</x:f>
        <x:v>일반</x:v>
      </x:c>
      <x:c r="M59" t="str">
        <x:f>IF(K59&gt;=70,"우선 검토",IF(K59&gt;=40,"모니터링","정기관리"))</x:f>
        <x:v>정기관리</x:v>
      </x:c>
    </x:row>
    <x:row r="60" ht="21" customHeight="1">
      <x:c r="A60" t="str">
        <x:f>업체현황!A60</x:f>
        <x:v>EXA-0059</x:v>
      </x:c>
      <x:c r="B60" t="str">
        <x:f>업체현황!B60</x:f>
        <x:v>상록플러스익스체인지 059호</x:v>
      </x:c>
      <x:c r="C60" t="str">
        <x:f>업체현황!F60</x:f>
        <x:v>단원구</x:v>
      </x:c>
      <x:c r="D60" s="10" t="n">
        <x:f>SUMIFS(연도별실적!$C$2:$C$401,연도별실적!$A$2:$A$401,A60,연도별실적!$B$2:$B$401,2024)</x:f>
        <x:v>246779</x:v>
      </x:c>
      <x:c r="E60" s="10" t="n">
        <x:f>SUMIFS(연도별실적!$C$2:$C$401,연도별실적!$A$2:$A$401,A60,연도별실적!$B$2:$B$401,2025)</x:f>
        <x:v>389481</x:v>
      </x:c>
      <x:c r="F60" s="8" t="n">
        <x:f>IF(D60=0,0,(E60-D60)/D60)</x:f>
        <x:v>0.578258279675337</x:v>
      </x:c>
      <x:c r="G60" t="n">
        <x:f>IF(ABS(F60)&gt;=0.6,30,IF(ABS(F60)&gt;=0.35,20,IF(ABS(F60)&gt;=0.2,10,0)))</x:f>
        <x:v>20</x:v>
      </x:c>
      <x:c r="H60" t="n">
        <x:f>IF(DATE(2026,10,23)-DATEVALUE(업체현황!O60)&gt;=1095,20,IF(DATE(2026,10,23)-DATEVALUE(업체현황!O60)&gt;=730,15,IF(DATE(2026,10,23)-DATEVALUE(업체현황!O60)&gt;=365,10,0)))</x:f>
        <x:v>0</x:v>
      </x:c>
      <x:c r="I60" t="n">
        <x:f>IF(업체현황!P60="중대",30,IF(업체현황!P60="경미",15,0))</x:f>
        <x:v>30</x:v>
      </x:c>
      <x:c r="J60" t="n">
        <x:f>IF(업체현황!L60="폐업",0,IF(업체현황!L60="휴업",10,0))</x:f>
        <x:v>0</x:v>
      </x:c>
      <x:c r="K60" t="n">
        <x:f>SUM(G60:J60)</x:f>
        <x:v>50</x:v>
      </x:c>
      <x:c r="L60" t="str">
        <x:f>IF(K60&gt;=70,"고위험",IF(K60&gt;=40,"주의","일반"))</x:f>
        <x:v>주의</x:v>
      </x:c>
      <x:c r="M60" t="str">
        <x:f>IF(K60&gt;=70,"우선 검토",IF(K60&gt;=40,"모니터링","정기관리"))</x:f>
        <x:v>모니터링</x:v>
      </x:c>
    </x:row>
    <x:row r="61" ht="21" customHeight="1">
      <x:c r="A61" t="str">
        <x:f>업체현황!A61</x:f>
        <x:v>EXA-0060</x:v>
      </x:c>
      <x:c r="B61" t="str">
        <x:f>업체현황!B61</x:f>
        <x:v>해솔스타익스체인지 060호</x:v>
      </x:c>
      <x:c r="C61" t="str">
        <x:f>업체현황!F61</x:f>
        <x:v>상록구</x:v>
      </x:c>
      <x:c r="D61" s="10" t="n">
        <x:f>SUMIFS(연도별실적!$C$2:$C$401,연도별실적!$A$2:$A$401,A61,연도별실적!$B$2:$B$401,2024)</x:f>
        <x:v>15356</x:v>
      </x:c>
      <x:c r="E61" s="10" t="n">
        <x:f>SUMIFS(연도별실적!$C$2:$C$401,연도별실적!$A$2:$A$401,A61,연도별실적!$B$2:$B$401,2025)</x:f>
        <x:v>15499</x:v>
      </x:c>
      <x:c r="F61" s="8" t="n">
        <x:f>IF(D61=0,0,(E61-D61)/D61)</x:f>
        <x:v>0.009312320916905445</x:v>
      </x:c>
      <x:c r="G61" t="n">
        <x:f>IF(ABS(F61)&gt;=0.6,30,IF(ABS(F61)&gt;=0.35,20,IF(ABS(F61)&gt;=0.2,10,0)))</x:f>
        <x:v>0</x:v>
      </x:c>
      <x:c r="H61" t="n">
        <x:f>IF(DATE(2026,10,23)-DATEVALUE(업체현황!O61)&gt;=1095,20,IF(DATE(2026,10,23)-DATEVALUE(업체현황!O61)&gt;=730,15,IF(DATE(2026,10,23)-DATEVALUE(업체현황!O61)&gt;=365,10,0)))</x:f>
        <x:v>0</x:v>
      </x:c>
      <x:c r="I61" t="n">
        <x:f>IF(업체현황!P61="중대",30,IF(업체현황!P61="경미",15,0))</x:f>
        <x:v>0</x:v>
      </x:c>
      <x:c r="J61" t="n">
        <x:f>IF(업체현황!L61="폐업",0,IF(업체현황!L61="휴업",10,0))</x:f>
        <x:v>0</x:v>
      </x:c>
      <x:c r="K61" t="n">
        <x:f>SUM(G61:J61)</x:f>
        <x:v>0</x:v>
      </x:c>
      <x:c r="L61" t="str">
        <x:f>IF(K61&gt;=70,"고위험",IF(K61&gt;=40,"주의","일반"))</x:f>
        <x:v>일반</x:v>
      </x:c>
      <x:c r="M61" t="str">
        <x:f>IF(K61&gt;=70,"우선 검토",IF(K61&gt;=40,"모니터링","정기관리"))</x:f>
        <x:v>정기관리</x:v>
      </x:c>
    </x:row>
    <x:row r="62" ht="21" customHeight="1">
      <x:c r="A62" t="str">
        <x:f>업체현황!A62</x:f>
        <x:v>EXA-0061</x:v>
      </x:c>
      <x:c r="B62" t="str">
        <x:f>업체현황!B62</x:f>
        <x:v>미래머니체인지 061호</x:v>
      </x:c>
      <x:c r="C62" t="str">
        <x:f>업체현황!F62</x:f>
        <x:v>상록구</x:v>
      </x:c>
      <x:c r="D62" s="10" t="n">
        <x:f>SUMIFS(연도별실적!$C$2:$C$401,연도별실적!$A$2:$A$401,A62,연도별실적!$B$2:$B$401,2024)</x:f>
        <x:v>228462</x:v>
      </x:c>
      <x:c r="E62" s="10" t="n">
        <x:f>SUMIFS(연도별실적!$C$2:$C$401,연도별실적!$A$2:$A$401,A62,연도별실적!$B$2:$B$401,2025)</x:f>
        <x:v>330228</x:v>
      </x:c>
      <x:c r="F62" s="8" t="n">
        <x:f>IF(D62=0,0,(E62-D62)/D62)</x:f>
        <x:v>0.44543950416261785</x:v>
      </x:c>
      <x:c r="G62" t="n">
        <x:f>IF(ABS(F62)&gt;=0.6,30,IF(ABS(F62)&gt;=0.35,20,IF(ABS(F62)&gt;=0.2,10,0)))</x:f>
        <x:v>20</x:v>
      </x:c>
      <x:c r="H62" t="n">
        <x:f>IF(DATE(2026,10,23)-DATEVALUE(업체현황!O62)&gt;=1095,20,IF(DATE(2026,10,23)-DATEVALUE(업체현황!O62)&gt;=730,15,IF(DATE(2026,10,23)-DATEVALUE(업체현황!O62)&gt;=365,10,0)))</x:f>
        <x:v>20</x:v>
      </x:c>
      <x:c r="I62" t="n">
        <x:f>IF(업체현황!P62="중대",30,IF(업체현황!P62="경미",15,0))</x:f>
        <x:v>15</x:v>
      </x:c>
      <x:c r="J62" t="n">
        <x:f>IF(업체현황!L62="폐업",0,IF(업체현황!L62="휴업",10,0))</x:f>
        <x:v>0</x:v>
      </x:c>
      <x:c r="K62" t="n">
        <x:f>SUM(G62:J62)</x:f>
        <x:v>55</x:v>
      </x:c>
      <x:c r="L62" t="str">
        <x:f>IF(K62&gt;=70,"고위험",IF(K62&gt;=40,"주의","일반"))</x:f>
        <x:v>주의</x:v>
      </x:c>
      <x:c r="M62" t="str">
        <x:f>IF(K62&gt;=70,"우선 검토",IF(K62&gt;=40,"모니터링","정기관리"))</x:f>
        <x:v>모니터링</x:v>
      </x:c>
    </x:row>
    <x:row r="63" ht="21" customHeight="1">
      <x:c r="A63" t="str">
        <x:f>업체현황!A63</x:f>
        <x:v>EXA-0062</x:v>
      </x:c>
      <x:c r="B63" t="str">
        <x:f>업체현황!B63</x:f>
        <x:v>삼일프라임익스체인지 062호</x:v>
      </x:c>
      <x:c r="C63" t="str">
        <x:f>업체현황!F63</x:f>
        <x:v>단원구</x:v>
      </x:c>
      <x:c r="D63" s="10" t="n">
        <x:f>SUMIFS(연도별실적!$C$2:$C$401,연도별실적!$A$2:$A$401,A63,연도별실적!$B$2:$B$401,2024)</x:f>
        <x:v>202276</x:v>
      </x:c>
      <x:c r="E63" s="10" t="n">
        <x:f>SUMIFS(연도별실적!$C$2:$C$401,연도별실적!$A$2:$A$401,A63,연도별실적!$B$2:$B$401,2025)</x:f>
        <x:v>195873</x:v>
      </x:c>
      <x:c r="F63" s="8" t="n">
        <x:f>IF(D63=0,0,(E63-D63)/D63)</x:f>
        <x:v>-0.031654768731831755</x:v>
      </x:c>
      <x:c r="G63" t="n">
        <x:f>IF(ABS(F63)&gt;=0.6,30,IF(ABS(F63)&gt;=0.35,20,IF(ABS(F63)&gt;=0.2,10,0)))</x:f>
        <x:v>0</x:v>
      </x:c>
      <x:c r="H63" t="n">
        <x:f>IF(DATE(2026,10,23)-DATEVALUE(업체현황!O63)&gt;=1095,20,IF(DATE(2026,10,23)-DATEVALUE(업체현황!O63)&gt;=730,15,IF(DATE(2026,10,23)-DATEVALUE(업체현황!O63)&gt;=365,10,0)))</x:f>
        <x:v>10</x:v>
      </x:c>
      <x:c r="I63" t="n">
        <x:f>IF(업체현황!P63="중대",30,IF(업체현황!P63="경미",15,0))</x:f>
        <x:v>0</x:v>
      </x:c>
      <x:c r="J63" t="n">
        <x:f>IF(업체현황!L63="폐업",0,IF(업체현황!L63="휴업",10,0))</x:f>
        <x:v>0</x:v>
      </x:c>
      <x:c r="K63" t="n">
        <x:f>SUM(G63:J63)</x:f>
        <x:v>10</x:v>
      </x:c>
      <x:c r="L63" t="str">
        <x:f>IF(K63&gt;=70,"고위험",IF(K63&gt;=40,"주의","일반"))</x:f>
        <x:v>일반</x:v>
      </x:c>
      <x:c r="M63" t="str">
        <x:f>IF(K63&gt;=70,"우선 검토",IF(K63&gt;=40,"모니터링","정기관리"))</x:f>
        <x:v>정기관리</x:v>
      </x:c>
    </x:row>
    <x:row r="64" ht="21" customHeight="1">
      <x:c r="A64" t="str">
        <x:f>업체현황!A64</x:f>
        <x:v>EXA-0063</x:v>
      </x:c>
      <x:c r="B64" t="str">
        <x:f>업체현황!B64</x:f>
        <x:v>세계외환서비스 063호</x:v>
      </x:c>
      <x:c r="C64" t="str">
        <x:f>업체현황!F64</x:f>
        <x:v>단원구</x:v>
      </x:c>
      <x:c r="D64" s="10" t="n">
        <x:f>SUMIFS(연도별실적!$C$2:$C$401,연도별실적!$A$2:$A$401,A64,연도별실적!$B$2:$B$401,2024)</x:f>
        <x:v>293418</x:v>
      </x:c>
      <x:c r="E64" s="10" t="n">
        <x:f>SUMIFS(연도별실적!$C$2:$C$401,연도별실적!$A$2:$A$401,A64,연도별실적!$B$2:$B$401,2025)</x:f>
        <x:v>198349</x:v>
      </x:c>
      <x:c r="F64" s="8" t="n">
        <x:f>IF(D64=0,0,(E64-D64)/D64)</x:f>
        <x:v>-0.3240053439120981</x:v>
      </x:c>
      <x:c r="G64" t="n">
        <x:f>IF(ABS(F64)&gt;=0.6,30,IF(ABS(F64)&gt;=0.35,20,IF(ABS(F64)&gt;=0.2,10,0)))</x:f>
        <x:v>10</x:v>
      </x:c>
      <x:c r="H64" t="n">
        <x:f>IF(DATE(2026,10,23)-DATEVALUE(업체현황!O64)&gt;=1095,20,IF(DATE(2026,10,23)-DATEVALUE(업체현황!O64)&gt;=730,15,IF(DATE(2026,10,23)-DATEVALUE(업체현황!O64)&gt;=365,10,0)))</x:f>
        <x:v>10</x:v>
      </x:c>
      <x:c r="I64" t="n">
        <x:f>IF(업체현황!P64="중대",30,IF(업체현황!P64="경미",15,0))</x:f>
        <x:v>0</x:v>
      </x:c>
      <x:c r="J64" t="n">
        <x:f>IF(업체현황!L64="폐업",0,IF(업체현황!L64="휴업",10,0))</x:f>
        <x:v>0</x:v>
      </x:c>
      <x:c r="K64" t="n">
        <x:f>SUM(G64:J64)</x:f>
        <x:v>20</x:v>
      </x:c>
      <x:c r="L64" t="str">
        <x:f>IF(K64&gt;=70,"고위험",IF(K64&gt;=40,"주의","일반"))</x:f>
        <x:v>일반</x:v>
      </x:c>
      <x:c r="M64" t="str">
        <x:f>IF(K64&gt;=70,"우선 검토",IF(K64&gt;=40,"모니터링","정기관리"))</x:f>
        <x:v>정기관리</x:v>
      </x:c>
    </x:row>
    <x:row r="65" ht="21" customHeight="1">
      <x:c r="A65" t="str">
        <x:f>업체현황!A65</x:f>
        <x:v>EXA-0064</x:v>
      </x:c>
      <x:c r="B65" t="str">
        <x:f>업체현황!B65</x:f>
        <x:v>신세계플러스환전 064호</x:v>
      </x:c>
      <x:c r="C65" t="str">
        <x:f>업체현황!F65</x:f>
        <x:v>상록구</x:v>
      </x:c>
      <x:c r="D65" s="10" t="n">
        <x:f>SUMIFS(연도별실적!$C$2:$C$401,연도별실적!$A$2:$A$401,A65,연도별실적!$B$2:$B$401,2024)</x:f>
        <x:v>80545</x:v>
      </x:c>
      <x:c r="E65" s="10" t="n">
        <x:f>SUMIFS(연도별실적!$C$2:$C$401,연도별실적!$A$2:$A$401,A65,연도별실적!$B$2:$B$401,2025)</x:f>
        <x:v>71145</x:v>
      </x:c>
      <x:c r="F65" s="8" t="n">
        <x:f>IF(D65=0,0,(E65-D65)/D65)</x:f>
        <x:v>-0.11670494754485071</x:v>
      </x:c>
      <x:c r="G65" t="n">
        <x:f>IF(ABS(F65)&gt;=0.6,30,IF(ABS(F65)&gt;=0.35,20,IF(ABS(F65)&gt;=0.2,10,0)))</x:f>
        <x:v>0</x:v>
      </x:c>
      <x:c r="H65" t="n">
        <x:f>IF(DATE(2026,10,23)-DATEVALUE(업체현황!O65)&gt;=1095,20,IF(DATE(2026,10,23)-DATEVALUE(업체현황!O65)&gt;=730,15,IF(DATE(2026,10,23)-DATEVALUE(업체현황!O65)&gt;=365,10,0)))</x:f>
        <x:v>20</x:v>
      </x:c>
      <x:c r="I65" t="n">
        <x:f>IF(업체현황!P65="중대",30,IF(업체현황!P65="경미",15,0))</x:f>
        <x:v>15</x:v>
      </x:c>
      <x:c r="J65" t="n">
        <x:f>IF(업체현황!L65="폐업",0,IF(업체현황!L65="휴업",10,0))</x:f>
        <x:v>0</x:v>
      </x:c>
      <x:c r="K65" t="n">
        <x:f>SUM(G65:J65)</x:f>
        <x:v>35</x:v>
      </x:c>
      <x:c r="L65" t="str">
        <x:f>IF(K65&gt;=70,"고위험",IF(K65&gt;=40,"주의","일반"))</x:f>
        <x:v>일반</x:v>
      </x:c>
      <x:c r="M65" t="str">
        <x:f>IF(K65&gt;=70,"우선 검토",IF(K65&gt;=40,"모니터링","정기관리"))</x:f>
        <x:v>정기관리</x:v>
      </x:c>
    </x:row>
    <x:row r="66" ht="21" customHeight="1">
      <x:c r="A66" t="str">
        <x:f>업체현황!A66</x:f>
        <x:v>EXA-0065</x:v>
      </x:c>
      <x:c r="B66" t="str">
        <x:f>업체현황!B66</x:f>
        <x:v>국제환전소 065호</x:v>
      </x:c>
      <x:c r="C66" t="str">
        <x:f>업체현황!F66</x:f>
        <x:v>상록구</x:v>
      </x:c>
      <x:c r="D66" s="10" t="n">
        <x:f>SUMIFS(연도별실적!$C$2:$C$401,연도별실적!$A$2:$A$401,A66,연도별실적!$B$2:$B$401,2024)</x:f>
        <x:v>64139</x:v>
      </x:c>
      <x:c r="E66" s="10" t="n">
        <x:f>SUMIFS(연도별실적!$C$2:$C$401,연도별실적!$A$2:$A$401,A66,연도별실적!$B$2:$B$401,2025)</x:f>
        <x:v>57200</x:v>
      </x:c>
      <x:c r="F66" s="8" t="n">
        <x:f>IF(D66=0,0,(E66-D66)/D66)</x:f>
        <x:v>-0.10818690656230999</x:v>
      </x:c>
      <x:c r="G66" t="n">
        <x:f>IF(ABS(F66)&gt;=0.6,30,IF(ABS(F66)&gt;=0.35,20,IF(ABS(F66)&gt;=0.2,10,0)))</x:f>
        <x:v>0</x:v>
      </x:c>
      <x:c r="H66" t="n">
        <x:f>IF(DATE(2026,10,23)-DATEVALUE(업체현황!O66)&gt;=1095,20,IF(DATE(2026,10,23)-DATEVALUE(업체현황!O66)&gt;=730,15,IF(DATE(2026,10,23)-DATEVALUE(업체현황!O66)&gt;=365,10,0)))</x:f>
        <x:v>15</x:v>
      </x:c>
      <x:c r="I66" t="n">
        <x:f>IF(업체현황!P66="중대",30,IF(업체현황!P66="경미",15,0))</x:f>
        <x:v>0</x:v>
      </x:c>
      <x:c r="J66" t="n">
        <x:f>IF(업체현황!L66="폐업",0,IF(업체현황!L66="휴업",10,0))</x:f>
        <x:v>0</x:v>
      </x:c>
      <x:c r="K66" t="n">
        <x:f>SUM(G66:J66)</x:f>
        <x:v>15</x:v>
      </x:c>
      <x:c r="L66" t="str">
        <x:f>IF(K66&gt;=70,"고위험",IF(K66&gt;=40,"주의","일반"))</x:f>
        <x:v>일반</x:v>
      </x:c>
      <x:c r="M66" t="str">
        <x:f>IF(K66&gt;=70,"우선 검토",IF(K66&gt;=40,"모니터링","정기관리"))</x:f>
        <x:v>정기관리</x:v>
      </x:c>
    </x:row>
    <x:row r="67" ht="21" customHeight="1">
      <x:c r="A67" t="str">
        <x:f>업체현황!A67</x:f>
        <x:v>EXA-0066</x:v>
      </x:c>
      <x:c r="B67" t="str">
        <x:f>업체현황!B67</x:f>
        <x:v>글로벌플러스환전소 066호</x:v>
      </x:c>
      <x:c r="C67" t="str">
        <x:f>업체현황!F67</x:f>
        <x:v>단원구</x:v>
      </x:c>
      <x:c r="D67" s="10" t="n">
        <x:f>SUMIFS(연도별실적!$C$2:$C$401,연도별실적!$A$2:$A$401,A67,연도별실적!$B$2:$B$401,2024)</x:f>
        <x:v>45926</x:v>
      </x:c>
      <x:c r="E67" s="10" t="n">
        <x:f>SUMIFS(연도별실적!$C$2:$C$401,연도별실적!$A$2:$A$401,A67,연도별실적!$B$2:$B$401,2025)</x:f>
        <x:v>32566</x:v>
      </x:c>
      <x:c r="F67" s="8" t="n">
        <x:f>IF(D67=0,0,(E67-D67)/D67)</x:f>
        <x:v>-0.2909027566084571</x:v>
      </x:c>
      <x:c r="G67" t="n">
        <x:f>IF(ABS(F67)&gt;=0.6,30,IF(ABS(F67)&gt;=0.35,20,IF(ABS(F67)&gt;=0.2,10,0)))</x:f>
        <x:v>10</x:v>
      </x:c>
      <x:c r="H67" t="n">
        <x:f>IF(DATE(2026,10,23)-DATEVALUE(업체현황!O67)&gt;=1095,20,IF(DATE(2026,10,23)-DATEVALUE(업체현황!O67)&gt;=730,15,IF(DATE(2026,10,23)-DATEVALUE(업체현황!O67)&gt;=365,10,0)))</x:f>
        <x:v>0</x:v>
      </x:c>
      <x:c r="I67" t="n">
        <x:f>IF(업체현황!P67="중대",30,IF(업체현황!P67="경미",15,0))</x:f>
        <x:v>0</x:v>
      </x:c>
      <x:c r="J67" t="n">
        <x:f>IF(업체현황!L67="폐업",0,IF(업체현황!L67="휴업",10,0))</x:f>
        <x:v>0</x:v>
      </x:c>
      <x:c r="K67" t="n">
        <x:f>SUM(G67:J67)</x:f>
        <x:v>10</x:v>
      </x:c>
      <x:c r="L67" t="str">
        <x:f>IF(K67&gt;=70,"고위험",IF(K67&gt;=40,"주의","일반"))</x:f>
        <x:v>일반</x:v>
      </x:c>
      <x:c r="M67" t="str">
        <x:f>IF(K67&gt;=70,"우선 검토",IF(K67&gt;=40,"모니터링","정기관리"))</x:f>
        <x:v>정기관리</x:v>
      </x:c>
    </x:row>
    <x:row r="68" ht="21" customHeight="1">
      <x:c r="A68" t="str">
        <x:f>업체현황!A68</x:f>
        <x:v>EXA-0067</x:v>
      </x:c>
      <x:c r="B68" t="str">
        <x:f>업체현황!B68</x:f>
        <x:v>한성프라임환전소 067호</x:v>
      </x:c>
      <x:c r="C68" t="str">
        <x:f>업체현황!F68</x:f>
        <x:v>상록구</x:v>
      </x:c>
      <x:c r="D68" s="10" t="n">
        <x:f>SUMIFS(연도별실적!$C$2:$C$401,연도별실적!$A$2:$A$401,A68,연도별실적!$B$2:$B$401,2024)</x:f>
        <x:v>28294</x:v>
      </x:c>
      <x:c r="E68" s="10" t="n">
        <x:f>SUMIFS(연도별실적!$C$2:$C$401,연도별실적!$A$2:$A$401,A68,연도별실적!$B$2:$B$401,2025)</x:f>
        <x:v>23101</x:v>
      </x:c>
      <x:c r="F68" s="8" t="n">
        <x:f>IF(D68=0,0,(E68-D68)/D68)</x:f>
        <x:v>-0.18353714568459745</x:v>
      </x:c>
      <x:c r="G68" t="n">
        <x:f>IF(ABS(F68)&gt;=0.6,30,IF(ABS(F68)&gt;=0.35,20,IF(ABS(F68)&gt;=0.2,10,0)))</x:f>
        <x:v>0</x:v>
      </x:c>
      <x:c r="H68" t="n">
        <x:f>IF(DATE(2026,10,23)-DATEVALUE(업체현황!O68)&gt;=1095,20,IF(DATE(2026,10,23)-DATEVALUE(업체현황!O68)&gt;=730,15,IF(DATE(2026,10,23)-DATEVALUE(업체현황!O68)&gt;=365,10,0)))</x:f>
        <x:v>0</x:v>
      </x:c>
      <x:c r="I68" t="n">
        <x:f>IF(업체현황!P68="중대",30,IF(업체현황!P68="경미",15,0))</x:f>
        <x:v>15</x:v>
      </x:c>
      <x:c r="J68" t="n">
        <x:f>IF(업체현황!L68="폐업",0,IF(업체현황!L68="휴업",10,0))</x:f>
        <x:v>10</x:v>
      </x:c>
      <x:c r="K68" t="n">
        <x:f>SUM(G68:J68)</x:f>
        <x:v>25</x:v>
      </x:c>
      <x:c r="L68" t="str">
        <x:f>IF(K68&gt;=70,"고위험",IF(K68&gt;=40,"주의","일반"))</x:f>
        <x:v>일반</x:v>
      </x:c>
      <x:c r="M68" t="str">
        <x:f>IF(K68&gt;=70,"우선 검토",IF(K68&gt;=40,"모니터링","정기관리"))</x:f>
        <x:v>정기관리</x:v>
      </x:c>
    </x:row>
    <x:row r="69" ht="21" customHeight="1">
      <x:c r="A69" t="str">
        <x:f>업체현황!A69</x:f>
        <x:v>EXA-0068</x:v>
      </x:c>
      <x:c r="B69" t="str">
        <x:f>업체현황!B69</x:f>
        <x:v>새빛플러스외환서비스 068호</x:v>
      </x:c>
      <x:c r="C69" t="str">
        <x:f>업체현황!F69</x:f>
        <x:v>상록구</x:v>
      </x:c>
      <x:c r="D69" s="10" t="n">
        <x:f>SUMIFS(연도별실적!$C$2:$C$401,연도별실적!$A$2:$A$401,A69,연도별실적!$B$2:$B$401,2024)</x:f>
        <x:v>146639</x:v>
      </x:c>
      <x:c r="E69" s="10" t="n">
        <x:f>SUMIFS(연도별실적!$C$2:$C$401,연도별실적!$A$2:$A$401,A69,연도별실적!$B$2:$B$401,2025)</x:f>
        <x:v>241560</x:v>
      </x:c>
      <x:c r="F69" s="8" t="n">
        <x:f>IF(D69=0,0,(E69-D69)/D69)</x:f>
        <x:v>0.6473107427082836</x:v>
      </x:c>
      <x:c r="G69" t="n">
        <x:f>IF(ABS(F69)&gt;=0.6,30,IF(ABS(F69)&gt;=0.35,20,IF(ABS(F69)&gt;=0.2,10,0)))</x:f>
        <x:v>30</x:v>
      </x:c>
      <x:c r="H69" t="n">
        <x:f>IF(DATE(2026,10,23)-DATEVALUE(업체현황!O69)&gt;=1095,20,IF(DATE(2026,10,23)-DATEVALUE(업체현황!O69)&gt;=730,15,IF(DATE(2026,10,23)-DATEVALUE(업체현황!O69)&gt;=365,10,0)))</x:f>
        <x:v>15</x:v>
      </x:c>
      <x:c r="I69" t="n">
        <x:f>IF(업체현황!P69="중대",30,IF(업체현황!P69="경미",15,0))</x:f>
        <x:v>15</x:v>
      </x:c>
      <x:c r="J69" t="n">
        <x:f>IF(업체현황!L69="폐업",0,IF(업체현황!L69="휴업",10,0))</x:f>
        <x:v>0</x:v>
      </x:c>
      <x:c r="K69" t="n">
        <x:f>SUM(G69:J69)</x:f>
        <x:v>60</x:v>
      </x:c>
      <x:c r="L69" t="str">
        <x:f>IF(K69&gt;=70,"고위험",IF(K69&gt;=40,"주의","일반"))</x:f>
        <x:v>주의</x:v>
      </x:c>
      <x:c r="M69" t="str">
        <x:f>IF(K69&gt;=70,"우선 검토",IF(K69&gt;=40,"모니터링","정기관리"))</x:f>
        <x:v>모니터링</x:v>
      </x:c>
    </x:row>
    <x:row r="70" ht="21" customHeight="1">
      <x:c r="A70" t="str">
        <x:f>업체현황!A70</x:f>
        <x:v>EXA-0069</x:v>
      </x:c>
      <x:c r="B70" t="str">
        <x:f>업체현황!B70</x:f>
        <x:v>상록환전 069호</x:v>
      </x:c>
      <x:c r="C70" t="str">
        <x:f>업체현황!F70</x:f>
        <x:v>단원구</x:v>
      </x:c>
      <x:c r="D70" s="10" t="n">
        <x:f>SUMIFS(연도별실적!$C$2:$C$401,연도별실적!$A$2:$A$401,A70,연도별실적!$B$2:$B$401,2024)</x:f>
        <x:v>45583</x:v>
      </x:c>
      <x:c r="E70" s="10" t="n">
        <x:f>SUMIFS(연도별실적!$C$2:$C$401,연도별실적!$A$2:$A$401,A70,연도별실적!$B$2:$B$401,2025)</x:f>
        <x:v>61939</x:v>
      </x:c>
      <x:c r="F70" s="8" t="n">
        <x:f>IF(D70=0,0,(E70-D70)/D70)</x:f>
        <x:v>0.35881798038742513</x:v>
      </x:c>
      <x:c r="G70" t="n">
        <x:f>IF(ABS(F70)&gt;=0.6,30,IF(ABS(F70)&gt;=0.35,20,IF(ABS(F70)&gt;=0.2,10,0)))</x:f>
        <x:v>20</x:v>
      </x:c>
      <x:c r="H70" t="n">
        <x:f>IF(DATE(2026,10,23)-DATEVALUE(업체현황!O70)&gt;=1095,20,IF(DATE(2026,10,23)-DATEVALUE(업체현황!O70)&gt;=730,15,IF(DATE(2026,10,23)-DATEVALUE(업체현황!O70)&gt;=365,10,0)))</x:f>
        <x:v>20</x:v>
      </x:c>
      <x:c r="I70" t="n">
        <x:f>IF(업체현황!P70="중대",30,IF(업체현황!P70="경미",15,0))</x:f>
        <x:v>0</x:v>
      </x:c>
      <x:c r="J70" t="n">
        <x:f>IF(업체현황!L70="폐업",0,IF(업체현황!L70="휴업",10,0))</x:f>
        <x:v>0</x:v>
      </x:c>
      <x:c r="K70" t="n">
        <x:f>SUM(G70:J70)</x:f>
        <x:v>40</x:v>
      </x:c>
      <x:c r="L70" t="str">
        <x:f>IF(K70&gt;=70,"고위험",IF(K70&gt;=40,"주의","일반"))</x:f>
        <x:v>주의</x:v>
      </x:c>
      <x:c r="M70" t="str">
        <x:f>IF(K70&gt;=70,"우선 검토",IF(K70&gt;=40,"모니터링","정기관리"))</x:f>
        <x:v>모니터링</x:v>
      </x:c>
    </x:row>
    <x:row r="71" ht="21" customHeight="1">
      <x:c r="A71" t="str">
        <x:f>업체현황!A71</x:f>
        <x:v>EXA-0070</x:v>
      </x:c>
      <x:c r="B71" t="str">
        <x:f>업체현황!B71</x:f>
        <x:v>스마트원외환서비스 070호</x:v>
      </x:c>
      <x:c r="C71" t="str">
        <x:f>업체현황!F71</x:f>
        <x:v>단원구</x:v>
      </x:c>
      <x:c r="D71" s="10" t="n">
        <x:f>SUMIFS(연도별실적!$C$2:$C$401,연도별실적!$A$2:$A$401,A71,연도별실적!$B$2:$B$401,2024)</x:f>
        <x:v>12725</x:v>
      </x:c>
      <x:c r="E71" s="10" t="n">
        <x:f>SUMIFS(연도별실적!$C$2:$C$401,연도별실적!$A$2:$A$401,A71,연도별실적!$B$2:$B$401,2025)</x:f>
        <x:v>8177</x:v>
      </x:c>
      <x:c r="F71" s="8" t="n">
        <x:f>IF(D71=0,0,(E71-D71)/D71)</x:f>
        <x:v>-0.3574066797642436</x:v>
      </x:c>
      <x:c r="G71" t="n">
        <x:f>IF(ABS(F71)&gt;=0.6,30,IF(ABS(F71)&gt;=0.35,20,IF(ABS(F71)&gt;=0.2,10,0)))</x:f>
        <x:v>20</x:v>
      </x:c>
      <x:c r="H71" t="n">
        <x:f>IF(DATE(2026,10,23)-DATEVALUE(업체현황!O71)&gt;=1095,20,IF(DATE(2026,10,23)-DATEVALUE(업체현황!O71)&gt;=730,15,IF(DATE(2026,10,23)-DATEVALUE(업체현황!O71)&gt;=365,10,0)))</x:f>
        <x:v>0</x:v>
      </x:c>
      <x:c r="I71" t="n">
        <x:f>IF(업체현황!P71="중대",30,IF(업체현황!P71="경미",15,0))</x:f>
        <x:v>30</x:v>
      </x:c>
      <x:c r="J71" t="n">
        <x:f>IF(업체현황!L71="폐업",0,IF(업체현황!L71="휴업",10,0))</x:f>
        <x:v>0</x:v>
      </x:c>
      <x:c r="K71" t="n">
        <x:f>SUM(G71:J71)</x:f>
        <x:v>50</x:v>
      </x:c>
      <x:c r="L71" t="str">
        <x:f>IF(K71&gt;=70,"고위험",IF(K71&gt;=40,"주의","일반"))</x:f>
        <x:v>주의</x:v>
      </x:c>
      <x:c r="M71" t="str">
        <x:f>IF(K71&gt;=70,"우선 검토",IF(K71&gt;=40,"모니터링","정기관리"))</x:f>
        <x:v>모니터링</x:v>
      </x:c>
    </x:row>
    <x:row r="72" ht="21" customHeight="1">
      <x:c r="A72" t="str">
        <x:f>업체현황!A72</x:f>
        <x:v>EXA-0071</x:v>
      </x:c>
      <x:c r="B72" t="str">
        <x:f>업체현황!B72</x:f>
        <x:v>스마트프라임환전 071호</x:v>
      </x:c>
      <x:c r="C72" t="str">
        <x:f>업체현황!F72</x:f>
        <x:v>상록구</x:v>
      </x:c>
      <x:c r="D72" s="10" t="n">
        <x:f>SUMIFS(연도별실적!$C$2:$C$401,연도별실적!$A$2:$A$401,A72,연도별실적!$B$2:$B$401,2024)</x:f>
        <x:v>232270</x:v>
      </x:c>
      <x:c r="E72" s="10" t="n">
        <x:f>SUMIFS(연도별실적!$C$2:$C$401,연도별실적!$A$2:$A$401,A72,연도별실적!$B$2:$B$401,2025)</x:f>
        <x:v>177150</x:v>
      </x:c>
      <x:c r="F72" s="8" t="n">
        <x:f>IF(D72=0,0,(E72-D72)/D72)</x:f>
        <x:v>-0.23731002712360616</x:v>
      </x:c>
      <x:c r="G72" t="n">
        <x:f>IF(ABS(F72)&gt;=0.6,30,IF(ABS(F72)&gt;=0.35,20,IF(ABS(F72)&gt;=0.2,10,0)))</x:f>
        <x:v>10</x:v>
      </x:c>
      <x:c r="H72" t="n">
        <x:f>IF(DATE(2026,10,23)-DATEVALUE(업체현황!O72)&gt;=1095,20,IF(DATE(2026,10,23)-DATEVALUE(업체현황!O72)&gt;=730,15,IF(DATE(2026,10,23)-DATEVALUE(업체현황!O72)&gt;=365,10,0)))</x:f>
        <x:v>20</x:v>
      </x:c>
      <x:c r="I72" t="n">
        <x:f>IF(업체현황!P72="중대",30,IF(업체현황!P72="경미",15,0))</x:f>
        <x:v>15</x:v>
      </x:c>
      <x:c r="J72" t="n">
        <x:f>IF(업체현황!L72="폐업",0,IF(업체현황!L72="휴업",10,0))</x:f>
        <x:v>0</x:v>
      </x:c>
      <x:c r="K72" t="n">
        <x:f>SUM(G72:J72)</x:f>
        <x:v>45</x:v>
      </x:c>
      <x:c r="L72" t="str">
        <x:f>IF(K72&gt;=70,"고위험",IF(K72&gt;=40,"주의","일반"))</x:f>
        <x:v>주의</x:v>
      </x:c>
      <x:c r="M72" t="str">
        <x:f>IF(K72&gt;=70,"우선 검토",IF(K72&gt;=40,"모니터링","정기관리"))</x:f>
        <x:v>모니터링</x:v>
      </x:c>
    </x:row>
    <x:row r="73" ht="21" customHeight="1">
      <x:c r="A73" t="str">
        <x:f>업체현황!A73</x:f>
        <x:v>EXA-0072</x:v>
      </x:c>
      <x:c r="B73" t="str">
        <x:f>업체현황!B73</x:f>
        <x:v>국제플러스환전 072호</x:v>
      </x:c>
      <x:c r="C73" t="str">
        <x:f>업체현황!F73</x:f>
        <x:v>상록구</x:v>
      </x:c>
      <x:c r="D73" s="10" t="n">
        <x:f>SUMIFS(연도별실적!$C$2:$C$401,연도별실적!$A$2:$A$401,A73,연도별실적!$B$2:$B$401,2024)</x:f>
        <x:v>196411</x:v>
      </x:c>
      <x:c r="E73" s="10" t="n">
        <x:f>SUMIFS(연도별실적!$C$2:$C$401,연도별실적!$A$2:$A$401,A73,연도별실적!$B$2:$B$401,2025)</x:f>
        <x:v>195004</x:v>
      </x:c>
      <x:c r="F73" s="8" t="n">
        <x:f>IF(D73=0,0,(E73-D73)/D73)</x:f>
        <x:v>-0.007163549903009506</x:v>
      </x:c>
      <x:c r="G73" t="n">
        <x:f>IF(ABS(F73)&gt;=0.6,30,IF(ABS(F73)&gt;=0.35,20,IF(ABS(F73)&gt;=0.2,10,0)))</x:f>
        <x:v>0</x:v>
      </x:c>
      <x:c r="H73" t="n">
        <x:f>IF(DATE(2026,10,23)-DATEVALUE(업체현황!O73)&gt;=1095,20,IF(DATE(2026,10,23)-DATEVALUE(업체현황!O73)&gt;=730,15,IF(DATE(2026,10,23)-DATEVALUE(업체현황!O73)&gt;=365,10,0)))</x:f>
        <x:v>20</x:v>
      </x:c>
      <x:c r="I73" t="n">
        <x:f>IF(업체현황!P73="중대",30,IF(업체현황!P73="경미",15,0))</x:f>
        <x:v>0</x:v>
      </x:c>
      <x:c r="J73" t="n">
        <x:f>IF(업체현황!L73="폐업",0,IF(업체현황!L73="휴업",10,0))</x:f>
        <x:v>0</x:v>
      </x:c>
      <x:c r="K73" t="n">
        <x:f>SUM(G73:J73)</x:f>
        <x:v>20</x:v>
      </x:c>
      <x:c r="L73" t="str">
        <x:f>IF(K73&gt;=70,"고위험",IF(K73&gt;=40,"주의","일반"))</x:f>
        <x:v>일반</x:v>
      </x:c>
      <x:c r="M73" t="str">
        <x:f>IF(K73&gt;=70,"우선 검토",IF(K73&gt;=40,"모니터링","정기관리"))</x:f>
        <x:v>정기관리</x:v>
      </x:c>
    </x:row>
    <x:row r="74" ht="21" customHeight="1">
      <x:c r="A74" t="str">
        <x:f>업체현황!A74</x:f>
        <x:v>EXA-0073</x:v>
      </x:c>
      <x:c r="B74" t="str">
        <x:f>업체현황!B74</x:f>
        <x:v>한빛스타머니체인지 073호</x:v>
      </x:c>
      <x:c r="C74" t="str">
        <x:f>업체현황!F74</x:f>
        <x:v>단원구</x:v>
      </x:c>
      <x:c r="D74" s="10" t="n">
        <x:f>SUMIFS(연도별실적!$C$2:$C$401,연도별실적!$A$2:$A$401,A74,연도별실적!$B$2:$B$401,2024)</x:f>
        <x:v>317383</x:v>
      </x:c>
      <x:c r="E74" s="10" t="n">
        <x:f>SUMIFS(연도별실적!$C$2:$C$401,연도별실적!$A$2:$A$401,A74,연도별실적!$B$2:$B$401,2025)</x:f>
        <x:v>431016</x:v>
      </x:c>
      <x:c r="F74" s="8" t="n">
        <x:f>IF(D74=0,0,(E74-D74)/D74)</x:f>
        <x:v>0.3580311484862138</x:v>
      </x:c>
      <x:c r="G74" t="n">
        <x:f>IF(ABS(F74)&gt;=0.6,30,IF(ABS(F74)&gt;=0.35,20,IF(ABS(F74)&gt;=0.2,10,0)))</x:f>
        <x:v>20</x:v>
      </x:c>
      <x:c r="H74" t="n">
        <x:f>IF(DATE(2026,10,23)-DATEVALUE(업체현황!O74)&gt;=1095,20,IF(DATE(2026,10,23)-DATEVALUE(업체현황!O74)&gt;=730,15,IF(DATE(2026,10,23)-DATEVALUE(업체현황!O74)&gt;=365,10,0)))</x:f>
        <x:v>0</x:v>
      </x:c>
      <x:c r="I74" t="n">
        <x:f>IF(업체현황!P74="중대",30,IF(업체현황!P74="경미",15,0))</x:f>
        <x:v>0</x:v>
      </x:c>
      <x:c r="J74" t="n">
        <x:f>IF(업체현황!L74="폐업",0,IF(업체현황!L74="휴업",10,0))</x:f>
        <x:v>0</x:v>
      </x:c>
      <x:c r="K74" t="n">
        <x:f>SUM(G74:J74)</x:f>
        <x:v>20</x:v>
      </x:c>
      <x:c r="L74" t="str">
        <x:f>IF(K74&gt;=70,"고위험",IF(K74&gt;=40,"주의","일반"))</x:f>
        <x:v>일반</x:v>
      </x:c>
      <x:c r="M74" t="str">
        <x:f>IF(K74&gt;=70,"우선 검토",IF(K74&gt;=40,"모니터링","정기관리"))</x:f>
        <x:v>정기관리</x:v>
      </x:c>
    </x:row>
    <x:row r="75" ht="21" customHeight="1">
      <x:c r="A75" t="str">
        <x:f>업체현황!A75</x:f>
        <x:v>EXA-0074</x:v>
      </x:c>
      <x:c r="B75" t="str">
        <x:f>업체현황!B75</x:f>
        <x:v>다정플러스환전 074호</x:v>
      </x:c>
      <x:c r="C75" t="str">
        <x:f>업체현황!F75</x:f>
        <x:v>단원구</x:v>
      </x:c>
      <x:c r="D75" s="10" t="n">
        <x:f>SUMIFS(연도별실적!$C$2:$C$401,연도별실적!$A$2:$A$401,A75,연도별실적!$B$2:$B$401,2024)</x:f>
        <x:v>78991</x:v>
      </x:c>
      <x:c r="E75" s="10" t="n">
        <x:f>SUMIFS(연도별실적!$C$2:$C$401,연도별실적!$A$2:$A$401,A75,연도별실적!$B$2:$B$401,2025)</x:f>
        <x:v>68661</x:v>
      </x:c>
      <x:c r="F75" s="8" t="n">
        <x:f>IF(D75=0,0,(E75-D75)/D75)</x:f>
        <x:v>-0.130774392019344</x:v>
      </x:c>
      <x:c r="G75" t="n">
        <x:f>IF(ABS(F75)&gt;=0.6,30,IF(ABS(F75)&gt;=0.35,20,IF(ABS(F75)&gt;=0.2,10,0)))</x:f>
        <x:v>0</x:v>
      </x:c>
      <x:c r="H75" t="n">
        <x:f>IF(DATE(2026,10,23)-DATEVALUE(업체현황!O75)&gt;=1095,20,IF(DATE(2026,10,23)-DATEVALUE(업체현황!O75)&gt;=730,15,IF(DATE(2026,10,23)-DATEVALUE(업체현황!O75)&gt;=365,10,0)))</x:f>
        <x:v>20</x:v>
      </x:c>
      <x:c r="I75" t="n">
        <x:f>IF(업체현황!P75="중대",30,IF(업체현황!P75="경미",15,0))</x:f>
        <x:v>0</x:v>
      </x:c>
      <x:c r="J75" t="n">
        <x:f>IF(업체현황!L75="폐업",0,IF(업체현황!L75="휴업",10,0))</x:f>
        <x:v>0</x:v>
      </x:c>
      <x:c r="K75" t="n">
        <x:f>SUM(G75:J75)</x:f>
        <x:v>20</x:v>
      </x:c>
      <x:c r="L75" t="str">
        <x:f>IF(K75&gt;=70,"고위험",IF(K75&gt;=40,"주의","일반"))</x:f>
        <x:v>일반</x:v>
      </x:c>
      <x:c r="M75" t="str">
        <x:f>IF(K75&gt;=70,"우선 검토",IF(K75&gt;=40,"모니터링","정기관리"))</x:f>
        <x:v>정기관리</x:v>
      </x:c>
    </x:row>
    <x:row r="76" ht="21" customHeight="1">
      <x:c r="A76" t="str">
        <x:f>업체현황!A76</x:f>
        <x:v>EXA-0075</x:v>
      </x:c>
      <x:c r="B76" t="str">
        <x:f>업체현황!B76</x:f>
        <x:v>동서플러스환전 075호</x:v>
      </x:c>
      <x:c r="C76" t="str">
        <x:f>업체현황!F76</x:f>
        <x:v>상록구</x:v>
      </x:c>
      <x:c r="D76" s="10" t="n">
        <x:f>SUMIFS(연도별실적!$C$2:$C$401,연도별실적!$A$2:$A$401,A76,연도별실적!$B$2:$B$401,2024)</x:f>
        <x:v>192511</x:v>
      </x:c>
      <x:c r="E76" s="10" t="n">
        <x:f>SUMIFS(연도별실적!$C$2:$C$401,연도별실적!$A$2:$A$401,A76,연도별실적!$B$2:$B$401,2025)</x:f>
        <x:v>232116</x:v>
      </x:c>
      <x:c r="F76" s="8" t="n">
        <x:f>IF(D76=0,0,(E76-D76)/D76)</x:f>
        <x:v>0.20572850382575542</x:v>
      </x:c>
      <x:c r="G76" t="n">
        <x:f>IF(ABS(F76)&gt;=0.6,30,IF(ABS(F76)&gt;=0.35,20,IF(ABS(F76)&gt;=0.2,10,0)))</x:f>
        <x:v>10</x:v>
      </x:c>
      <x:c r="H76" t="n">
        <x:f>IF(DATE(2026,10,23)-DATEVALUE(업체현황!O76)&gt;=1095,20,IF(DATE(2026,10,23)-DATEVALUE(업체현황!O76)&gt;=730,15,IF(DATE(2026,10,23)-DATEVALUE(업체현황!O76)&gt;=365,10,0)))</x:f>
        <x:v>0</x:v>
      </x:c>
      <x:c r="I76" t="n">
        <x:f>IF(업체현황!P76="중대",30,IF(업체현황!P76="경미",15,0))</x:f>
        <x:v>0</x:v>
      </x:c>
      <x:c r="J76" t="n">
        <x:f>IF(업체현황!L76="폐업",0,IF(업체현황!L76="휴업",10,0))</x:f>
        <x:v>0</x:v>
      </x:c>
      <x:c r="K76" t="n">
        <x:f>SUM(G76:J76)</x:f>
        <x:v>10</x:v>
      </x:c>
      <x:c r="L76" t="str">
        <x:f>IF(K76&gt;=70,"고위험",IF(K76&gt;=40,"주의","일반"))</x:f>
        <x:v>일반</x:v>
      </x:c>
      <x:c r="M76" t="str">
        <x:f>IF(K76&gt;=70,"우선 검토",IF(K76&gt;=40,"모니터링","정기관리"))</x:f>
        <x:v>정기관리</x:v>
      </x:c>
    </x:row>
    <x:row r="77" ht="21" customHeight="1">
      <x:c r="A77" t="str">
        <x:f>업체현황!A77</x:f>
        <x:v>EXA-0076</x:v>
      </x:c>
      <x:c r="B77" t="str">
        <x:f>업체현황!B77</x:f>
        <x:v>오션원환전 076호</x:v>
      </x:c>
      <x:c r="C77" t="str">
        <x:f>업체현황!F77</x:f>
        <x:v>단원구</x:v>
      </x:c>
      <x:c r="D77" s="10" t="n">
        <x:f>SUMIFS(연도별실적!$C$2:$C$401,연도별실적!$A$2:$A$401,A77,연도별실적!$B$2:$B$401,2024)</x:f>
        <x:v>188954</x:v>
      </x:c>
      <x:c r="E77" s="10" t="n">
        <x:f>SUMIFS(연도별실적!$C$2:$C$401,연도별실적!$A$2:$A$401,A77,연도별실적!$B$2:$B$401,2025)</x:f>
        <x:v>178387</x:v>
      </x:c>
      <x:c r="F77" s="8" t="n">
        <x:f>IF(D77=0,0,(E77-D77)/D77)</x:f>
        <x:v>-0.05592366396054066</x:v>
      </x:c>
      <x:c r="G77" t="n">
        <x:f>IF(ABS(F77)&gt;=0.6,30,IF(ABS(F77)&gt;=0.35,20,IF(ABS(F77)&gt;=0.2,10,0)))</x:f>
        <x:v>0</x:v>
      </x:c>
      <x:c r="H77" t="n">
        <x:f>IF(DATE(2026,10,23)-DATEVALUE(업체현황!O77)&gt;=1095,20,IF(DATE(2026,10,23)-DATEVALUE(업체현황!O77)&gt;=730,15,IF(DATE(2026,10,23)-DATEVALUE(업체현황!O77)&gt;=365,10,0)))</x:f>
        <x:v>20</x:v>
      </x:c>
      <x:c r="I77" t="n">
        <x:f>IF(업체현황!P77="중대",30,IF(업체현황!P77="경미",15,0))</x:f>
        <x:v>15</x:v>
      </x:c>
      <x:c r="J77" t="n">
        <x:f>IF(업체현황!L77="폐업",0,IF(업체현황!L77="휴업",10,0))</x:f>
        <x:v>0</x:v>
      </x:c>
      <x:c r="K77" t="n">
        <x:f>SUM(G77:J77)</x:f>
        <x:v>35</x:v>
      </x:c>
      <x:c r="L77" t="str">
        <x:f>IF(K77&gt;=70,"고위험",IF(K77&gt;=40,"주의","일반"))</x:f>
        <x:v>일반</x:v>
      </x:c>
      <x:c r="M77" t="str">
        <x:f>IF(K77&gt;=70,"우선 검토",IF(K77&gt;=40,"모니터링","정기관리"))</x:f>
        <x:v>정기관리</x:v>
      </x:c>
    </x:row>
    <x:row r="78" ht="21" customHeight="1">
      <x:c r="A78" t="str">
        <x:f>업체현황!A78</x:f>
        <x:v>EXA-0077</x:v>
      </x:c>
      <x:c r="B78" t="str">
        <x:f>업체현황!B78</x:f>
        <x:v>삼일플러스환전 077호</x:v>
      </x:c>
      <x:c r="C78" t="str">
        <x:f>업체현황!F78</x:f>
        <x:v>단원구</x:v>
      </x:c>
      <x:c r="D78" s="10" t="n">
        <x:f>SUMIFS(연도별실적!$C$2:$C$401,연도별실적!$A$2:$A$401,A78,연도별실적!$B$2:$B$401,2024)</x:f>
        <x:v>231936</x:v>
      </x:c>
      <x:c r="E78" s="10" t="n">
        <x:f>SUMIFS(연도별실적!$C$2:$C$401,연도별실적!$A$2:$A$401,A78,연도별실적!$B$2:$B$401,2025)</x:f>
        <x:v>319703</x:v>
      </x:c>
      <x:c r="F78" s="8" t="n">
        <x:f>IF(D78=0,0,(E78-D78)/D78)</x:f>
        <x:v>0.3784104235651214</x:v>
      </x:c>
      <x:c r="G78" t="n">
        <x:f>IF(ABS(F78)&gt;=0.6,30,IF(ABS(F78)&gt;=0.35,20,IF(ABS(F78)&gt;=0.2,10,0)))</x:f>
        <x:v>20</x:v>
      </x:c>
      <x:c r="H78" t="n">
        <x:f>IF(DATE(2026,10,23)-DATEVALUE(업체현황!O78)&gt;=1095,20,IF(DATE(2026,10,23)-DATEVALUE(업체현황!O78)&gt;=730,15,IF(DATE(2026,10,23)-DATEVALUE(업체현황!O78)&gt;=365,10,0)))</x:f>
        <x:v>10</x:v>
      </x:c>
      <x:c r="I78" t="n">
        <x:f>IF(업체현황!P78="중대",30,IF(업체현황!P78="경미",15,0))</x:f>
        <x:v>0</x:v>
      </x:c>
      <x:c r="J78" t="n">
        <x:f>IF(업체현황!L78="폐업",0,IF(업체현황!L78="휴업",10,0))</x:f>
        <x:v>0</x:v>
      </x:c>
      <x:c r="K78" t="n">
        <x:f>SUM(G78:J78)</x:f>
        <x:v>30</x:v>
      </x:c>
      <x:c r="L78" t="str">
        <x:f>IF(K78&gt;=70,"고위험",IF(K78&gt;=40,"주의","일반"))</x:f>
        <x:v>일반</x:v>
      </x:c>
      <x:c r="M78" t="str">
        <x:f>IF(K78&gt;=70,"우선 검토",IF(K78&gt;=40,"모니터링","정기관리"))</x:f>
        <x:v>정기관리</x:v>
      </x:c>
    </x:row>
    <x:row r="79" ht="21" customHeight="1">
      <x:c r="A79" t="str">
        <x:f>업체현황!A79</x:f>
        <x:v>EXA-0078</x:v>
      </x:c>
      <x:c r="B79" t="str">
        <x:f>업체현황!B79</x:f>
        <x:v>스마트플러스익스체인지 078호</x:v>
      </x:c>
      <x:c r="C79" t="str">
        <x:f>업체현황!F79</x:f>
        <x:v>상록구</x:v>
      </x:c>
      <x:c r="D79" s="10" t="n">
        <x:f>SUMIFS(연도별실적!$C$2:$C$401,연도별실적!$A$2:$A$401,A79,연도별실적!$B$2:$B$401,2024)</x:f>
        <x:v>5098</x:v>
      </x:c>
      <x:c r="E79" s="10" t="n">
        <x:f>SUMIFS(연도별실적!$C$2:$C$401,연도별실적!$A$2:$A$401,A79,연도별실적!$B$2:$B$401,2025)</x:f>
        <x:v>7762</x:v>
      </x:c>
      <x:c r="F79" s="8" t="n">
        <x:f>IF(D79=0,0,(E79-D79)/D79)</x:f>
        <x:v>0.5225578658297372</x:v>
      </x:c>
      <x:c r="G79" t="n">
        <x:f>IF(ABS(F79)&gt;=0.6,30,IF(ABS(F79)&gt;=0.35,20,IF(ABS(F79)&gt;=0.2,10,0)))</x:f>
        <x:v>20</x:v>
      </x:c>
      <x:c r="H79" t="n">
        <x:f>IF(DATE(2026,10,23)-DATEVALUE(업체현황!O79)&gt;=1095,20,IF(DATE(2026,10,23)-DATEVALUE(업체현황!O79)&gt;=730,15,IF(DATE(2026,10,23)-DATEVALUE(업체현황!O79)&gt;=365,10,0)))</x:f>
        <x:v>15</x:v>
      </x:c>
      <x:c r="I79" t="n">
        <x:f>IF(업체현황!P79="중대",30,IF(업체현황!P79="경미",15,0))</x:f>
        <x:v>0</x:v>
      </x:c>
      <x:c r="J79" t="n">
        <x:f>IF(업체현황!L79="폐업",0,IF(업체현황!L79="휴업",10,0))</x:f>
        <x:v>10</x:v>
      </x:c>
      <x:c r="K79" t="n">
        <x:f>SUM(G79:J79)</x:f>
        <x:v>45</x:v>
      </x:c>
      <x:c r="L79" t="str">
        <x:f>IF(K79&gt;=70,"고위험",IF(K79&gt;=40,"주의","일반"))</x:f>
        <x:v>주의</x:v>
      </x:c>
      <x:c r="M79" t="str">
        <x:f>IF(K79&gt;=70,"우선 검토",IF(K79&gt;=40,"모니터링","정기관리"))</x:f>
        <x:v>모니터링</x:v>
      </x:c>
    </x:row>
    <x:row r="80" ht="21" customHeight="1">
      <x:c r="A80" t="str">
        <x:f>업체현황!A80</x:f>
        <x:v>EXA-0079</x:v>
      </x:c>
      <x:c r="B80" t="str">
        <x:f>업체현황!B80</x:f>
        <x:v>중앙원익스체인지 079호</x:v>
      </x:c>
      <x:c r="C80" t="str">
        <x:f>업체현황!F80</x:f>
        <x:v>상록구</x:v>
      </x:c>
      <x:c r="D80" s="10" t="n">
        <x:f>SUMIFS(연도별실적!$C$2:$C$401,연도별실적!$A$2:$A$401,A80,연도별실적!$B$2:$B$401,2024)</x:f>
        <x:v>188925</x:v>
      </x:c>
      <x:c r="E80" s="10" t="n">
        <x:f>SUMIFS(연도별실적!$C$2:$C$401,연도별실적!$A$2:$A$401,A80,연도별실적!$B$2:$B$401,2025)</x:f>
        <x:v>255680</x:v>
      </x:c>
      <x:c r="F80" s="8" t="n">
        <x:f>IF(D80=0,0,(E80-D80)/D80)</x:f>
        <x:v>0.353341272991928</x:v>
      </x:c>
      <x:c r="G80" t="n">
        <x:f>IF(ABS(F80)&gt;=0.6,30,IF(ABS(F80)&gt;=0.35,20,IF(ABS(F80)&gt;=0.2,10,0)))</x:f>
        <x:v>20</x:v>
      </x:c>
      <x:c r="H80" t="n">
        <x:f>IF(DATE(2026,10,23)-DATEVALUE(업체현황!O80)&gt;=1095,20,IF(DATE(2026,10,23)-DATEVALUE(업체현황!O80)&gt;=730,15,IF(DATE(2026,10,23)-DATEVALUE(업체현황!O80)&gt;=365,10,0)))</x:f>
        <x:v>10</x:v>
      </x:c>
      <x:c r="I80" t="n">
        <x:f>IF(업체현황!P80="중대",30,IF(업체현황!P80="경미",15,0))</x:f>
        <x:v>0</x:v>
      </x:c>
      <x:c r="J80" t="n">
        <x:f>IF(업체현황!L80="폐업",0,IF(업체현황!L80="휴업",10,0))</x:f>
        <x:v>0</x:v>
      </x:c>
      <x:c r="K80" t="n">
        <x:f>SUM(G80:J80)</x:f>
        <x:v>30</x:v>
      </x:c>
      <x:c r="L80" t="str">
        <x:f>IF(K80&gt;=70,"고위험",IF(K80&gt;=40,"주의","일반"))</x:f>
        <x:v>일반</x:v>
      </x:c>
      <x:c r="M80" t="str">
        <x:f>IF(K80&gt;=70,"우선 검토",IF(K80&gt;=40,"모니터링","정기관리"))</x:f>
        <x:v>정기관리</x:v>
      </x:c>
    </x:row>
    <x:row r="81" ht="21" customHeight="1">
      <x:c r="A81" t="str">
        <x:f>업체현황!A81</x:f>
        <x:v>EXA-0080</x:v>
      </x:c>
      <x:c r="B81" t="str">
        <x:f>업체현황!B81</x:f>
        <x:v>안산스타외환서비스 080호</x:v>
      </x:c>
      <x:c r="C81" t="str">
        <x:f>업체현황!F81</x:f>
        <x:v>단원구</x:v>
      </x:c>
      <x:c r="D81" s="10" t="n">
        <x:f>SUMIFS(연도별실적!$C$2:$C$401,연도별실적!$A$2:$A$401,A81,연도별실적!$B$2:$B$401,2024)</x:f>
        <x:v>138878</x:v>
      </x:c>
      <x:c r="E81" s="10" t="n">
        <x:f>SUMIFS(연도별실적!$C$2:$C$401,연도별실적!$A$2:$A$401,A81,연도별실적!$B$2:$B$401,2025)</x:f>
        <x:v>131472</x:v>
      </x:c>
      <x:c r="F81" s="8" t="n">
        <x:f>IF(D81=0,0,(E81-D81)/D81)</x:f>
        <x:v>-0.053327380866659946</x:v>
      </x:c>
      <x:c r="G81" t="n">
        <x:f>IF(ABS(F81)&gt;=0.6,30,IF(ABS(F81)&gt;=0.35,20,IF(ABS(F81)&gt;=0.2,10,0)))</x:f>
        <x:v>0</x:v>
      </x:c>
      <x:c r="H81" t="n">
        <x:f>IF(DATE(2026,10,23)-DATEVALUE(업체현황!O81)&gt;=1095,20,IF(DATE(2026,10,23)-DATEVALUE(업체현황!O81)&gt;=730,15,IF(DATE(2026,10,23)-DATEVALUE(업체현황!O81)&gt;=365,10,0)))</x:f>
        <x:v>20</x:v>
      </x:c>
      <x:c r="I81" t="n">
        <x:f>IF(업체현황!P81="중대",30,IF(업체현황!P81="경미",15,0))</x:f>
        <x:v>0</x:v>
      </x:c>
      <x:c r="J81" t="n">
        <x:f>IF(업체현황!L81="폐업",0,IF(업체현황!L81="휴업",10,0))</x:f>
        <x:v>0</x:v>
      </x:c>
      <x:c r="K81" t="n">
        <x:f>SUM(G81:J81)</x:f>
        <x:v>20</x:v>
      </x:c>
      <x:c r="L81" t="str">
        <x:f>IF(K81&gt;=70,"고위험",IF(K81&gt;=40,"주의","일반"))</x:f>
        <x:v>일반</x:v>
      </x:c>
      <x:c r="M81" t="str">
        <x:f>IF(K81&gt;=70,"우선 검토",IF(K81&gt;=40,"모니터링","정기관리"))</x:f>
        <x:v>정기관리</x:v>
      </x:c>
    </x:row>
    <x:row r="82" ht="21" customHeight="1">
      <x:c r="A82" t="str">
        <x:f>업체현황!A82</x:f>
        <x:v>EXA-0081</x:v>
      </x:c>
      <x:c r="B82" t="str">
        <x:f>업체현황!B82</x:f>
        <x:v>한마음플러스익스체인지 081호</x:v>
      </x:c>
      <x:c r="C82" t="str">
        <x:f>업체현황!F82</x:f>
        <x:v>단원구</x:v>
      </x:c>
      <x:c r="D82" s="10" t="n">
        <x:f>SUMIFS(연도별실적!$C$2:$C$401,연도별실적!$A$2:$A$401,A82,연도별실적!$B$2:$B$401,2024)</x:f>
        <x:v>155591</x:v>
      </x:c>
      <x:c r="E82" s="10" t="n">
        <x:f>SUMIFS(연도별실적!$C$2:$C$401,연도별실적!$A$2:$A$401,A82,연도별실적!$B$2:$B$401,2025)</x:f>
        <x:v>160567</x:v>
      </x:c>
      <x:c r="F82" s="8" t="n">
        <x:f>IF(D82=0,0,(E82-D82)/D82)</x:f>
        <x:v>0.031981284264514014</x:v>
      </x:c>
      <x:c r="G82" t="n">
        <x:f>IF(ABS(F82)&gt;=0.6,30,IF(ABS(F82)&gt;=0.35,20,IF(ABS(F82)&gt;=0.2,10,0)))</x:f>
        <x:v>0</x:v>
      </x:c>
      <x:c r="H82" t="n">
        <x:f>IF(DATE(2026,10,23)-DATEVALUE(업체현황!O82)&gt;=1095,20,IF(DATE(2026,10,23)-DATEVALUE(업체현황!O82)&gt;=730,15,IF(DATE(2026,10,23)-DATEVALUE(업체현황!O82)&gt;=365,10,0)))</x:f>
        <x:v>20</x:v>
      </x:c>
      <x:c r="I82" t="n">
        <x:f>IF(업체현황!P82="중대",30,IF(업체현황!P82="경미",15,0))</x:f>
        <x:v>0</x:v>
      </x:c>
      <x:c r="J82" t="n">
        <x:f>IF(업체현황!L82="폐업",0,IF(업체현황!L82="휴업",10,0))</x:f>
        <x:v>10</x:v>
      </x:c>
      <x:c r="K82" t="n">
        <x:f>SUM(G82:J82)</x:f>
        <x:v>30</x:v>
      </x:c>
      <x:c r="L82" t="str">
        <x:f>IF(K82&gt;=70,"고위험",IF(K82&gt;=40,"주의","일반"))</x:f>
        <x:v>일반</x:v>
      </x:c>
      <x:c r="M82" t="str">
        <x:f>IF(K82&gt;=70,"우선 검토",IF(K82&gt;=40,"모니터링","정기관리"))</x:f>
        <x:v>정기관리</x:v>
      </x:c>
    </x:row>
    <x:row r="83" ht="21" customHeight="1">
      <x:c r="A83" t="str">
        <x:f>업체현황!A83</x:f>
        <x:v>EXA-0082</x:v>
      </x:c>
      <x:c r="B83" t="str">
        <x:f>업체현황!B83</x:f>
        <x:v>단원환전소 082호</x:v>
      </x:c>
      <x:c r="C83" t="str">
        <x:f>업체현황!F83</x:f>
        <x:v>상록구</x:v>
      </x:c>
      <x:c r="D83" s="10" t="n">
        <x:f>SUMIFS(연도별실적!$C$2:$C$401,연도별실적!$A$2:$A$401,A83,연도별실적!$B$2:$B$401,2024)</x:f>
        <x:v>52436</x:v>
      </x:c>
      <x:c r="E83" s="10" t="n">
        <x:f>SUMIFS(연도별실적!$C$2:$C$401,연도별실적!$A$2:$A$401,A83,연도별실적!$B$2:$B$401,2025)</x:f>
        <x:v>71818</x:v>
      </x:c>
      <x:c r="F83" s="8" t="n">
        <x:f>IF(D83=0,0,(E83-D83)/D83)</x:f>
        <x:v>0.3696315508429323</x:v>
      </x:c>
      <x:c r="G83" t="n">
        <x:f>IF(ABS(F83)&gt;=0.6,30,IF(ABS(F83)&gt;=0.35,20,IF(ABS(F83)&gt;=0.2,10,0)))</x:f>
        <x:v>20</x:v>
      </x:c>
      <x:c r="H83" t="n">
        <x:f>IF(DATE(2026,10,23)-DATEVALUE(업체현황!O83)&gt;=1095,20,IF(DATE(2026,10,23)-DATEVALUE(업체현황!O83)&gt;=730,15,IF(DATE(2026,10,23)-DATEVALUE(업체현황!O83)&gt;=365,10,0)))</x:f>
        <x:v>15</x:v>
      </x:c>
      <x:c r="I83" t="n">
        <x:f>IF(업체현황!P83="중대",30,IF(업체현황!P83="경미",15,0))</x:f>
        <x:v>0</x:v>
      </x:c>
      <x:c r="J83" t="n">
        <x:f>IF(업체현황!L83="폐업",0,IF(업체현황!L83="휴업",10,0))</x:f>
        <x:v>0</x:v>
      </x:c>
      <x:c r="K83" t="n">
        <x:f>SUM(G83:J83)</x:f>
        <x:v>35</x:v>
      </x:c>
      <x:c r="L83" t="str">
        <x:f>IF(K83&gt;=70,"고위험",IF(K83&gt;=40,"주의","일반"))</x:f>
        <x:v>일반</x:v>
      </x:c>
      <x:c r="M83" t="str">
        <x:f>IF(K83&gt;=70,"우선 검토",IF(K83&gt;=40,"모니터링","정기관리"))</x:f>
        <x:v>정기관리</x:v>
      </x:c>
    </x:row>
    <x:row r="84" ht="21" customHeight="1">
      <x:c r="A84" t="str">
        <x:f>업체현황!A84</x:f>
        <x:v>EXA-0083</x:v>
      </x:c>
      <x:c r="B84" t="str">
        <x:f>업체현황!B84</x:f>
        <x:v>우리스타외환서비스 083호</x:v>
      </x:c>
      <x:c r="C84" t="str">
        <x:f>업체현황!F84</x:f>
        <x:v>상록구</x:v>
      </x:c>
      <x:c r="D84" s="10" t="n">
        <x:f>SUMIFS(연도별실적!$C$2:$C$401,연도별실적!$A$2:$A$401,A84,연도별실적!$B$2:$B$401,2024)</x:f>
        <x:v>176986</x:v>
      </x:c>
      <x:c r="E84" s="10" t="n">
        <x:f>SUMIFS(연도별실적!$C$2:$C$401,연도별실적!$A$2:$A$401,A84,연도별실적!$B$2:$B$401,2025)</x:f>
        <x:v>126396</x:v>
      </x:c>
      <x:c r="F84" s="8" t="n">
        <x:f>IF(D84=0,0,(E84-D84)/D84)</x:f>
        <x:v>-0.2858418179969037</x:v>
      </x:c>
      <x:c r="G84" t="n">
        <x:f>IF(ABS(F84)&gt;=0.6,30,IF(ABS(F84)&gt;=0.35,20,IF(ABS(F84)&gt;=0.2,10,0)))</x:f>
        <x:v>10</x:v>
      </x:c>
      <x:c r="H84" t="n">
        <x:f>IF(DATE(2026,10,23)-DATEVALUE(업체현황!O84)&gt;=1095,20,IF(DATE(2026,10,23)-DATEVALUE(업체현황!O84)&gt;=730,15,IF(DATE(2026,10,23)-DATEVALUE(업체현황!O84)&gt;=365,10,0)))</x:f>
        <x:v>20</x:v>
      </x:c>
      <x:c r="I84" t="n">
        <x:f>IF(업체현황!P84="중대",30,IF(업체현황!P84="경미",15,0))</x:f>
        <x:v>0</x:v>
      </x:c>
      <x:c r="J84" t="n">
        <x:f>IF(업체현황!L84="폐업",0,IF(업체현황!L84="휴업",10,0))</x:f>
        <x:v>0</x:v>
      </x:c>
      <x:c r="K84" t="n">
        <x:f>SUM(G84:J84)</x:f>
        <x:v>30</x:v>
      </x:c>
      <x:c r="L84" t="str">
        <x:f>IF(K84&gt;=70,"고위험",IF(K84&gt;=40,"주의","일반"))</x:f>
        <x:v>일반</x:v>
      </x:c>
      <x:c r="M84" t="str">
        <x:f>IF(K84&gt;=70,"우선 검토",IF(K84&gt;=40,"모니터링","정기관리"))</x:f>
        <x:v>정기관리</x:v>
      </x:c>
    </x:row>
    <x:row r="85" ht="21" customHeight="1">
      <x:c r="A85" t="str">
        <x:f>업체현황!A85</x:f>
        <x:v>EXA-0084</x:v>
      </x:c>
      <x:c r="B85" t="str">
        <x:f>업체현황!B85</x:f>
        <x:v>푸른플러스환전소 084호</x:v>
      </x:c>
      <x:c r="C85" t="str">
        <x:f>업체현황!F85</x:f>
        <x:v>단원구</x:v>
      </x:c>
      <x:c r="D85" s="10" t="n">
        <x:f>SUMIFS(연도별실적!$C$2:$C$401,연도별실적!$A$2:$A$401,A85,연도별실적!$B$2:$B$401,2024)</x:f>
        <x:v>185005</x:v>
      </x:c>
      <x:c r="E85" s="10" t="n">
        <x:f>SUMIFS(연도별실적!$C$2:$C$401,연도별실적!$A$2:$A$401,A85,연도별실적!$B$2:$B$401,2025)</x:f>
        <x:v>112682</x:v>
      </x:c>
      <x:c r="F85" s="8" t="n">
        <x:f>IF(D85=0,0,(E85-D85)/D85)</x:f>
        <x:v>-0.39092456960622685</x:v>
      </x:c>
      <x:c r="G85" t="n">
        <x:f>IF(ABS(F85)&gt;=0.6,30,IF(ABS(F85)&gt;=0.35,20,IF(ABS(F85)&gt;=0.2,10,0)))</x:f>
        <x:v>20</x:v>
      </x:c>
      <x:c r="H85" t="n">
        <x:f>IF(DATE(2026,10,23)-DATEVALUE(업체현황!O85)&gt;=1095,20,IF(DATE(2026,10,23)-DATEVALUE(업체현황!O85)&gt;=730,15,IF(DATE(2026,10,23)-DATEVALUE(업체현황!O85)&gt;=365,10,0)))</x:f>
        <x:v>15</x:v>
      </x:c>
      <x:c r="I85" t="n">
        <x:f>IF(업체현황!P85="중대",30,IF(업체현황!P85="경미",15,0))</x:f>
        <x:v>15</x:v>
      </x:c>
      <x:c r="J85" t="n">
        <x:f>IF(업체현황!L85="폐업",0,IF(업체현황!L85="휴업",10,0))</x:f>
        <x:v>0</x:v>
      </x:c>
      <x:c r="K85" t="n">
        <x:f>SUM(G85:J85)</x:f>
        <x:v>50</x:v>
      </x:c>
      <x:c r="L85" t="str">
        <x:f>IF(K85&gt;=70,"고위험",IF(K85&gt;=40,"주의","일반"))</x:f>
        <x:v>주의</x:v>
      </x:c>
      <x:c r="M85" t="str">
        <x:f>IF(K85&gt;=70,"우선 검토",IF(K85&gt;=40,"모니터링","정기관리"))</x:f>
        <x:v>모니터링</x:v>
      </x:c>
    </x:row>
    <x:row r="86" ht="21" customHeight="1">
      <x:c r="A86" t="str">
        <x:f>업체현황!A86</x:f>
        <x:v>EXA-0085</x:v>
      </x:c>
      <x:c r="B86" t="str">
        <x:f>업체현황!B86</x:f>
        <x:v>신세계머니체인지 085호</x:v>
      </x:c>
      <x:c r="C86" t="str">
        <x:f>업체현황!F86</x:f>
        <x:v>상록구</x:v>
      </x:c>
      <x:c r="D86" s="10" t="n">
        <x:f>SUMIFS(연도별실적!$C$2:$C$401,연도별실적!$A$2:$A$401,A86,연도별실적!$B$2:$B$401,2024)</x:f>
        <x:v>46686</x:v>
      </x:c>
      <x:c r="E86" s="10" t="n">
        <x:f>SUMIFS(연도별실적!$C$2:$C$401,연도별실적!$A$2:$A$401,A86,연도별실적!$B$2:$B$401,2025)</x:f>
        <x:v>56026</x:v>
      </x:c>
      <x:c r="F86" s="8" t="n">
        <x:f>IF(D86=0,0,(E86-D86)/D86)</x:f>
        <x:v>0.20005997515315083</x:v>
      </x:c>
      <x:c r="G86" t="n">
        <x:f>IF(ABS(F86)&gt;=0.6,30,IF(ABS(F86)&gt;=0.35,20,IF(ABS(F86)&gt;=0.2,10,0)))</x:f>
        <x:v>10</x:v>
      </x:c>
      <x:c r="H86" t="n">
        <x:f>IF(DATE(2026,10,23)-DATEVALUE(업체현황!O86)&gt;=1095,20,IF(DATE(2026,10,23)-DATEVALUE(업체현황!O86)&gt;=730,15,IF(DATE(2026,10,23)-DATEVALUE(업체현황!O86)&gt;=365,10,0)))</x:f>
        <x:v>20</x:v>
      </x:c>
      <x:c r="I86" t="n">
        <x:f>IF(업체현황!P86="중대",30,IF(업체현황!P86="경미",15,0))</x:f>
        <x:v>0</x:v>
      </x:c>
      <x:c r="J86" t="n">
        <x:f>IF(업체현황!L86="폐업",0,IF(업체현황!L86="휴업",10,0))</x:f>
        <x:v>0</x:v>
      </x:c>
      <x:c r="K86" t="n">
        <x:f>SUM(G86:J86)</x:f>
        <x:v>30</x:v>
      </x:c>
      <x:c r="L86" t="str">
        <x:f>IF(K86&gt;=70,"고위험",IF(K86&gt;=40,"주의","일반"))</x:f>
        <x:v>일반</x:v>
      </x:c>
      <x:c r="M86" t="str">
        <x:f>IF(K86&gt;=70,"우선 검토",IF(K86&gt;=40,"모니터링","정기관리"))</x:f>
        <x:v>정기관리</x:v>
      </x:c>
    </x:row>
    <x:row r="87" ht="21" customHeight="1">
      <x:c r="A87" t="str">
        <x:f>업체현황!A87</x:f>
        <x:v>EXA-0086</x:v>
      </x:c>
      <x:c r="B87" t="str">
        <x:f>업체현황!B87</x:f>
        <x:v>세계스타외환서비스 086호</x:v>
      </x:c>
      <x:c r="C87" t="str">
        <x:f>업체현황!F87</x:f>
        <x:v>상록구</x:v>
      </x:c>
      <x:c r="D87" s="10" t="n">
        <x:f>SUMIFS(연도별실적!$C$2:$C$401,연도별실적!$A$2:$A$401,A87,연도별실적!$B$2:$B$401,2024)</x:f>
        <x:v>359099</x:v>
      </x:c>
      <x:c r="E87" s="10" t="n">
        <x:f>SUMIFS(연도별실적!$C$2:$C$401,연도별실적!$A$2:$A$401,A87,연도별실적!$B$2:$B$401,2025)</x:f>
        <x:v>449615</x:v>
      </x:c>
      <x:c r="F87" s="8" t="n">
        <x:f>IF(D87=0,0,(E87-D87)/D87)</x:f>
        <x:v>0.2520641939966416</x:v>
      </x:c>
      <x:c r="G87" t="n">
        <x:f>IF(ABS(F87)&gt;=0.6,30,IF(ABS(F87)&gt;=0.35,20,IF(ABS(F87)&gt;=0.2,10,0)))</x:f>
        <x:v>10</x:v>
      </x:c>
      <x:c r="H87" t="n">
        <x:f>IF(DATE(2026,10,23)-DATEVALUE(업체현황!O87)&gt;=1095,20,IF(DATE(2026,10,23)-DATEVALUE(업체현황!O87)&gt;=730,15,IF(DATE(2026,10,23)-DATEVALUE(업체현황!O87)&gt;=365,10,0)))</x:f>
        <x:v>20</x:v>
      </x:c>
      <x:c r="I87" t="n">
        <x:f>IF(업체현황!P87="중대",30,IF(업체현황!P87="경미",15,0))</x:f>
        <x:v>0</x:v>
      </x:c>
      <x:c r="J87" t="n">
        <x:f>IF(업체현황!L87="폐업",0,IF(업체현황!L87="휴업",10,0))</x:f>
        <x:v>0</x:v>
      </x:c>
      <x:c r="K87" t="n">
        <x:f>SUM(G87:J87)</x:f>
        <x:v>30</x:v>
      </x:c>
      <x:c r="L87" t="str">
        <x:f>IF(K87&gt;=70,"고위험",IF(K87&gt;=40,"주의","일반"))</x:f>
        <x:v>일반</x:v>
      </x:c>
      <x:c r="M87" t="str">
        <x:f>IF(K87&gt;=70,"우선 검토",IF(K87&gt;=40,"모니터링","정기관리"))</x:f>
        <x:v>정기관리</x:v>
      </x:c>
    </x:row>
    <x:row r="88" ht="21" customHeight="1">
      <x:c r="A88" t="str">
        <x:f>업체현황!A88</x:f>
        <x:v>EXA-0087</x:v>
      </x:c>
      <x:c r="B88" t="str">
        <x:f>업체현황!B88</x:f>
        <x:v>상록원외환서비스 087호</x:v>
      </x:c>
      <x:c r="C88" t="str">
        <x:f>업체현황!F88</x:f>
        <x:v>단원구</x:v>
      </x:c>
      <x:c r="D88" s="10" t="n">
        <x:f>SUMIFS(연도별실적!$C$2:$C$401,연도별실적!$A$2:$A$401,A88,연도별실적!$B$2:$B$401,2024)</x:f>
        <x:v>29914</x:v>
      </x:c>
      <x:c r="E88" s="10" t="n">
        <x:f>SUMIFS(연도별실적!$C$2:$C$401,연도별실적!$A$2:$A$401,A88,연도별실적!$B$2:$B$401,2025)</x:f>
        <x:v>44257</x:v>
      </x:c>
      <x:c r="F88" s="8" t="n">
        <x:f>IF(D88=0,0,(E88-D88)/D88)</x:f>
        <x:v>0.4794744935481714</x:v>
      </x:c>
      <x:c r="G88" t="n">
        <x:f>IF(ABS(F88)&gt;=0.6,30,IF(ABS(F88)&gt;=0.35,20,IF(ABS(F88)&gt;=0.2,10,0)))</x:f>
        <x:v>20</x:v>
      </x:c>
      <x:c r="H88" t="n">
        <x:f>IF(DATE(2026,10,23)-DATEVALUE(업체현황!O88)&gt;=1095,20,IF(DATE(2026,10,23)-DATEVALUE(업체현황!O88)&gt;=730,15,IF(DATE(2026,10,23)-DATEVALUE(업체현황!O88)&gt;=365,10,0)))</x:f>
        <x:v>15</x:v>
      </x:c>
      <x:c r="I88" t="n">
        <x:f>IF(업체현황!P88="중대",30,IF(업체현황!P88="경미",15,0))</x:f>
        <x:v>30</x:v>
      </x:c>
      <x:c r="J88" t="n">
        <x:f>IF(업체현황!L88="폐업",0,IF(업체현황!L88="휴업",10,0))</x:f>
        <x:v>0</x:v>
      </x:c>
      <x:c r="K88" t="n">
        <x:f>SUM(G88:J88)</x:f>
        <x:v>65</x:v>
      </x:c>
      <x:c r="L88" t="str">
        <x:f>IF(K88&gt;=70,"고위험",IF(K88&gt;=40,"주의","일반"))</x:f>
        <x:v>주의</x:v>
      </x:c>
      <x:c r="M88" t="str">
        <x:f>IF(K88&gt;=70,"우선 검토",IF(K88&gt;=40,"모니터링","정기관리"))</x:f>
        <x:v>모니터링</x:v>
      </x:c>
    </x:row>
    <x:row r="89" ht="21" customHeight="1">
      <x:c r="A89" t="str">
        <x:f>업체현황!A89</x:f>
        <x:v>EXA-0088</x:v>
      </x:c>
      <x:c r="B89" t="str">
        <x:f>업체현황!B89</x:f>
        <x:v>신세계환전소 088호</x:v>
      </x:c>
      <x:c r="C89" t="str">
        <x:f>업체현황!F89</x:f>
        <x:v>단원구</x:v>
      </x:c>
      <x:c r="D89" s="10" t="n">
        <x:f>SUMIFS(연도별실적!$C$2:$C$401,연도별실적!$A$2:$A$401,A89,연도별실적!$B$2:$B$401,2024)</x:f>
        <x:v>73368</x:v>
      </x:c>
      <x:c r="E89" s="10" t="n">
        <x:f>SUMIFS(연도별실적!$C$2:$C$401,연도별실적!$A$2:$A$401,A89,연도별실적!$B$2:$B$401,2025)</x:f>
        <x:v>85113</x:v>
      </x:c>
      <x:c r="F89" s="8" t="n">
        <x:f>IF(D89=0,0,(E89-D89)/D89)</x:f>
        <x:v>0.16008341511285573</x:v>
      </x:c>
      <x:c r="G89" t="n">
        <x:f>IF(ABS(F89)&gt;=0.6,30,IF(ABS(F89)&gt;=0.35,20,IF(ABS(F89)&gt;=0.2,10,0)))</x:f>
        <x:v>0</x:v>
      </x:c>
      <x:c r="H89" t="n">
        <x:f>IF(DATE(2026,10,23)-DATEVALUE(업체현황!O89)&gt;=1095,20,IF(DATE(2026,10,23)-DATEVALUE(업체현황!O89)&gt;=730,15,IF(DATE(2026,10,23)-DATEVALUE(업체현황!O89)&gt;=365,10,0)))</x:f>
        <x:v>20</x:v>
      </x:c>
      <x:c r="I89" t="n">
        <x:f>IF(업체현황!P89="중대",30,IF(업체현황!P89="경미",15,0))</x:f>
        <x:v>0</x:v>
      </x:c>
      <x:c r="J89" t="n">
        <x:f>IF(업체현황!L89="폐업",0,IF(업체현황!L89="휴업",10,0))</x:f>
        <x:v>0</x:v>
      </x:c>
      <x:c r="K89" t="n">
        <x:f>SUM(G89:J89)</x:f>
        <x:v>20</x:v>
      </x:c>
      <x:c r="L89" t="str">
        <x:f>IF(K89&gt;=70,"고위험",IF(K89&gt;=40,"주의","일반"))</x:f>
        <x:v>일반</x:v>
      </x:c>
      <x:c r="M89" t="str">
        <x:f>IF(K89&gt;=70,"우선 검토",IF(K89&gt;=40,"모니터링","정기관리"))</x:f>
        <x:v>정기관리</x:v>
      </x:c>
    </x:row>
    <x:row r="90" ht="21" customHeight="1">
      <x:c r="A90" t="str">
        <x:f>업체현황!A90</x:f>
        <x:v>EXA-0089</x:v>
      </x:c>
      <x:c r="B90" t="str">
        <x:f>업체현황!B90</x:f>
        <x:v>동행원머니체인지 089호</x:v>
      </x:c>
      <x:c r="C90" t="str">
        <x:f>업체현황!F90</x:f>
        <x:v>상록구</x:v>
      </x:c>
      <x:c r="D90" s="10" t="n">
        <x:f>SUMIFS(연도별실적!$C$2:$C$401,연도별실적!$A$2:$A$401,A90,연도별실적!$B$2:$B$401,2024)</x:f>
        <x:v>174606</x:v>
      </x:c>
      <x:c r="E90" s="10" t="n">
        <x:f>SUMIFS(연도별실적!$C$2:$C$401,연도별실적!$A$2:$A$401,A90,연도별실적!$B$2:$B$401,2025)</x:f>
        <x:v>244306</x:v>
      </x:c>
      <x:c r="F90" s="8" t="n">
        <x:f>IF(D90=0,0,(E90-D90)/D90)</x:f>
        <x:v>0.3991844495607253</x:v>
      </x:c>
      <x:c r="G90" t="n">
        <x:f>IF(ABS(F90)&gt;=0.6,30,IF(ABS(F90)&gt;=0.35,20,IF(ABS(F90)&gt;=0.2,10,0)))</x:f>
        <x:v>20</x:v>
      </x:c>
      <x:c r="H90" t="n">
        <x:f>IF(DATE(2026,10,23)-DATEVALUE(업체현황!O90)&gt;=1095,20,IF(DATE(2026,10,23)-DATEVALUE(업체현황!O90)&gt;=730,15,IF(DATE(2026,10,23)-DATEVALUE(업체현황!O90)&gt;=365,10,0)))</x:f>
        <x:v>10</x:v>
      </x:c>
      <x:c r="I90" t="n">
        <x:f>IF(업체현황!P90="중대",30,IF(업체현황!P90="경미",15,0))</x:f>
        <x:v>0</x:v>
      </x:c>
      <x:c r="J90" t="n">
        <x:f>IF(업체현황!L90="폐업",0,IF(업체현황!L90="휴업",10,0))</x:f>
        <x:v>0</x:v>
      </x:c>
      <x:c r="K90" t="n">
        <x:f>SUM(G90:J90)</x:f>
        <x:v>30</x:v>
      </x:c>
      <x:c r="L90" t="str">
        <x:f>IF(K90&gt;=70,"고위험",IF(K90&gt;=40,"주의","일반"))</x:f>
        <x:v>일반</x:v>
      </x:c>
      <x:c r="M90" t="str">
        <x:f>IF(K90&gt;=70,"우선 검토",IF(K90&gt;=40,"모니터링","정기관리"))</x:f>
        <x:v>정기관리</x:v>
      </x:c>
    </x:row>
    <x:row r="91" ht="21" customHeight="1">
      <x:c r="A91" t="str">
        <x:f>업체현황!A91</x:f>
        <x:v>EXA-0090</x:v>
      </x:c>
      <x:c r="B91" t="str">
        <x:f>업체현황!B91</x:f>
        <x:v>글로벌스타익스체인지 090호</x:v>
      </x:c>
      <x:c r="C91" t="str">
        <x:f>업체현황!F91</x:f>
        <x:v>상록구</x:v>
      </x:c>
      <x:c r="D91" s="10" t="n">
        <x:f>SUMIFS(연도별실적!$C$2:$C$401,연도별실적!$A$2:$A$401,A91,연도별실적!$B$2:$B$401,2024)</x:f>
        <x:v>26891</x:v>
      </x:c>
      <x:c r="E91" s="10" t="n">
        <x:f>SUMIFS(연도별실적!$C$2:$C$401,연도별실적!$A$2:$A$401,A91,연도별실적!$B$2:$B$401,2025)</x:f>
        <x:v>43235</x:v>
      </x:c>
      <x:c r="F91" s="8" t="n">
        <x:f>IF(D91=0,0,(E91-D91)/D91)</x:f>
        <x:v>0.6077869919303857</x:v>
      </x:c>
      <x:c r="G91" t="n">
        <x:f>IF(ABS(F91)&gt;=0.6,30,IF(ABS(F91)&gt;=0.35,20,IF(ABS(F91)&gt;=0.2,10,0)))</x:f>
        <x:v>30</x:v>
      </x:c>
      <x:c r="H91" t="n">
        <x:f>IF(DATE(2026,10,23)-DATEVALUE(업체현황!O91)&gt;=1095,20,IF(DATE(2026,10,23)-DATEVALUE(업체현황!O91)&gt;=730,15,IF(DATE(2026,10,23)-DATEVALUE(업체현황!O91)&gt;=365,10,0)))</x:f>
        <x:v>15</x:v>
      </x:c>
      <x:c r="I91" t="n">
        <x:f>IF(업체현황!P91="중대",30,IF(업체현황!P91="경미",15,0))</x:f>
        <x:v>30</x:v>
      </x:c>
      <x:c r="J91" t="n">
        <x:f>IF(업체현황!L91="폐업",0,IF(업체현황!L91="휴업",10,0))</x:f>
        <x:v>0</x:v>
      </x:c>
      <x:c r="K91" t="n">
        <x:f>SUM(G91:J91)</x:f>
        <x:v>75</x:v>
      </x:c>
      <x:c r="L91" t="str">
        <x:f>IF(K91&gt;=70,"고위험",IF(K91&gt;=40,"주의","일반"))</x:f>
        <x:v>고위험</x:v>
      </x:c>
      <x:c r="M91" t="str">
        <x:f>IF(K91&gt;=70,"우선 검토",IF(K91&gt;=40,"모니터링","정기관리"))</x:f>
        <x:v>우선 검토</x:v>
      </x:c>
    </x:row>
    <x:row r="92" ht="21" customHeight="1">
      <x:c r="A92" t="str">
        <x:f>업체현황!A92</x:f>
        <x:v>EXA-0091</x:v>
      </x:c>
      <x:c r="B92" t="str">
        <x:f>업체현황!B92</x:f>
        <x:v>나래프라임환전 091호</x:v>
      </x:c>
      <x:c r="C92" t="str">
        <x:f>업체현황!F92</x:f>
        <x:v>단원구</x:v>
      </x:c>
      <x:c r="D92" s="10" t="n">
        <x:f>SUMIFS(연도별실적!$C$2:$C$401,연도별실적!$A$2:$A$401,A92,연도별실적!$B$2:$B$401,2024)</x:f>
        <x:v>68544</x:v>
      </x:c>
      <x:c r="E92" s="10" t="n">
        <x:f>SUMIFS(연도별실적!$C$2:$C$401,연도별실적!$A$2:$A$401,A92,연도별실적!$B$2:$B$401,2025)</x:f>
        <x:v>107356</x:v>
      </x:c>
      <x:c r="F92" s="8" t="n">
        <x:f>IF(D92=0,0,(E92-D92)/D92)</x:f>
        <x:v>0.566234827264239</x:v>
      </x:c>
      <x:c r="G92" t="n">
        <x:f>IF(ABS(F92)&gt;=0.6,30,IF(ABS(F92)&gt;=0.35,20,IF(ABS(F92)&gt;=0.2,10,0)))</x:f>
        <x:v>20</x:v>
      </x:c>
      <x:c r="H92" t="n">
        <x:f>IF(DATE(2026,10,23)-DATEVALUE(업체현황!O92)&gt;=1095,20,IF(DATE(2026,10,23)-DATEVALUE(업체현황!O92)&gt;=730,15,IF(DATE(2026,10,23)-DATEVALUE(업체현황!O92)&gt;=365,10,0)))</x:f>
        <x:v>20</x:v>
      </x:c>
      <x:c r="I92" t="n">
        <x:f>IF(업체현황!P92="중대",30,IF(업체현황!P92="경미",15,0))</x:f>
        <x:v>0</x:v>
      </x:c>
      <x:c r="J92" t="n">
        <x:f>IF(업체현황!L92="폐업",0,IF(업체현황!L92="휴업",10,0))</x:f>
        <x:v>0</x:v>
      </x:c>
      <x:c r="K92" t="n">
        <x:f>SUM(G92:J92)</x:f>
        <x:v>40</x:v>
      </x:c>
      <x:c r="L92" t="str">
        <x:f>IF(K92&gt;=70,"고위험",IF(K92&gt;=40,"주의","일반"))</x:f>
        <x:v>주의</x:v>
      </x:c>
      <x:c r="M92" t="str">
        <x:f>IF(K92&gt;=70,"우선 검토",IF(K92&gt;=40,"모니터링","정기관리"))</x:f>
        <x:v>모니터링</x:v>
      </x:c>
    </x:row>
    <x:row r="93" ht="21" customHeight="1">
      <x:c r="A93" t="str">
        <x:f>업체현황!A93</x:f>
        <x:v>EXA-0092</x:v>
      </x:c>
      <x:c r="B93" t="str">
        <x:f>업체현황!B93</x:f>
        <x:v>스마트스타외환서비스 092호</x:v>
      </x:c>
      <x:c r="C93" t="str">
        <x:f>업체현황!F93</x:f>
        <x:v>상록구</x:v>
      </x:c>
      <x:c r="D93" s="10" t="n">
        <x:f>SUMIFS(연도별실적!$C$2:$C$401,연도별실적!$A$2:$A$401,A93,연도별실적!$B$2:$B$401,2024)</x:f>
        <x:v>246731</x:v>
      </x:c>
      <x:c r="E93" s="10" t="n">
        <x:f>SUMIFS(연도별실적!$C$2:$C$401,연도별실적!$A$2:$A$401,A93,연도별실적!$B$2:$B$401,2025)</x:f>
        <x:v>199244</x:v>
      </x:c>
      <x:c r="F93" s="8" t="n">
        <x:f>IF(D93=0,0,(E93-D93)/D93)</x:f>
        <x:v>-0.19246466799875167</x:v>
      </x:c>
      <x:c r="G93" t="n">
        <x:f>IF(ABS(F93)&gt;=0.6,30,IF(ABS(F93)&gt;=0.35,20,IF(ABS(F93)&gt;=0.2,10,0)))</x:f>
        <x:v>0</x:v>
      </x:c>
      <x:c r="H93" t="n">
        <x:f>IF(DATE(2026,10,23)-DATEVALUE(업체현황!O93)&gt;=1095,20,IF(DATE(2026,10,23)-DATEVALUE(업체현황!O93)&gt;=730,15,IF(DATE(2026,10,23)-DATEVALUE(업체현황!O93)&gt;=365,10,0)))</x:f>
        <x:v>20</x:v>
      </x:c>
      <x:c r="I93" t="n">
        <x:f>IF(업체현황!P93="중대",30,IF(업체현황!P93="경미",15,0))</x:f>
        <x:v>0</x:v>
      </x:c>
      <x:c r="J93" t="n">
        <x:f>IF(업체현황!L93="폐업",0,IF(업체현황!L93="휴업",10,0))</x:f>
        <x:v>0</x:v>
      </x:c>
      <x:c r="K93" t="n">
        <x:f>SUM(G93:J93)</x:f>
        <x:v>20</x:v>
      </x:c>
      <x:c r="L93" t="str">
        <x:f>IF(K93&gt;=70,"고위험",IF(K93&gt;=40,"주의","일반"))</x:f>
        <x:v>일반</x:v>
      </x:c>
      <x:c r="M93" t="str">
        <x:f>IF(K93&gt;=70,"우선 검토",IF(K93&gt;=40,"모니터링","정기관리"))</x:f>
        <x:v>정기관리</x:v>
      </x:c>
    </x:row>
    <x:row r="94" ht="21" customHeight="1">
      <x:c r="A94" t="str">
        <x:f>업체현황!A94</x:f>
        <x:v>EXA-0093</x:v>
      </x:c>
      <x:c r="B94" t="str">
        <x:f>업체현황!B94</x:f>
        <x:v>우리프라임익스체인지 093호</x:v>
      </x:c>
      <x:c r="C94" t="str">
        <x:f>업체현황!F94</x:f>
        <x:v>상록구</x:v>
      </x:c>
      <x:c r="D94" s="10" t="n">
        <x:f>SUMIFS(연도별실적!$C$2:$C$401,연도별실적!$A$2:$A$401,A94,연도별실적!$B$2:$B$401,2024)</x:f>
        <x:v>274095</x:v>
      </x:c>
      <x:c r="E94" s="10" t="n">
        <x:f>SUMIFS(연도별실적!$C$2:$C$401,연도별실적!$A$2:$A$401,A94,연도별실적!$B$2:$B$401,2025)</x:f>
        <x:v>320648</x:v>
      </x:c>
      <x:c r="F94" s="8" t="n">
        <x:f>IF(D94=0,0,(E94-D94)/D94)</x:f>
        <x:v>0.16984257283058793</x:v>
      </x:c>
      <x:c r="G94" t="n">
        <x:f>IF(ABS(F94)&gt;=0.6,30,IF(ABS(F94)&gt;=0.35,20,IF(ABS(F94)&gt;=0.2,10,0)))</x:f>
        <x:v>0</x:v>
      </x:c>
      <x:c r="H94" t="n">
        <x:f>IF(DATE(2026,10,23)-DATEVALUE(업체현황!O94)&gt;=1095,20,IF(DATE(2026,10,23)-DATEVALUE(업체현황!O94)&gt;=730,15,IF(DATE(2026,10,23)-DATEVALUE(업체현황!O94)&gt;=365,10,0)))</x:f>
        <x:v>10</x:v>
      </x:c>
      <x:c r="I94" t="n">
        <x:f>IF(업체현황!P94="중대",30,IF(업체현황!P94="경미",15,0))</x:f>
        <x:v>0</x:v>
      </x:c>
      <x:c r="J94" t="n">
        <x:f>IF(업체현황!L94="폐업",0,IF(업체현황!L94="휴업",10,0))</x:f>
        <x:v>0</x:v>
      </x:c>
      <x:c r="K94" t="n">
        <x:f>SUM(G94:J94)</x:f>
        <x:v>10</x:v>
      </x:c>
      <x:c r="L94" t="str">
        <x:f>IF(K94&gt;=70,"고위험",IF(K94&gt;=40,"주의","일반"))</x:f>
        <x:v>일반</x:v>
      </x:c>
      <x:c r="M94" t="str">
        <x:f>IF(K94&gt;=70,"우선 검토",IF(K94&gt;=40,"모니터링","정기관리"))</x:f>
        <x:v>정기관리</x:v>
      </x:c>
    </x:row>
    <x:row r="95" ht="21" customHeight="1">
      <x:c r="A95" t="str">
        <x:f>업체현황!A95</x:f>
        <x:v>EXA-0094</x:v>
      </x:c>
      <x:c r="B95" t="str">
        <x:f>업체현황!B95</x:f>
        <x:v>이음플러스익스체인지 094호</x:v>
      </x:c>
      <x:c r="C95" t="str">
        <x:f>업체현황!F95</x:f>
        <x:v>단원구</x:v>
      </x:c>
      <x:c r="D95" s="10" t="n">
        <x:f>SUMIFS(연도별실적!$C$2:$C$401,연도별실적!$A$2:$A$401,A95,연도별실적!$B$2:$B$401,2024)</x:f>
        <x:v>351607</x:v>
      </x:c>
      <x:c r="E95" s="10" t="n">
        <x:f>SUMIFS(연도별실적!$C$2:$C$401,연도별실적!$A$2:$A$401,A95,연도별실적!$B$2:$B$401,2025)</x:f>
        <x:v>298049</x:v>
      </x:c>
      <x:c r="F95" s="8" t="n">
        <x:f>IF(D95=0,0,(E95-D95)/D95)</x:f>
        <x:v>-0.1523234747886134</x:v>
      </x:c>
      <x:c r="G95" t="n">
        <x:f>IF(ABS(F95)&gt;=0.6,30,IF(ABS(F95)&gt;=0.35,20,IF(ABS(F95)&gt;=0.2,10,0)))</x:f>
        <x:v>0</x:v>
      </x:c>
      <x:c r="H95" t="n">
        <x:f>IF(DATE(2026,10,23)-DATEVALUE(업체현황!O95)&gt;=1095,20,IF(DATE(2026,10,23)-DATEVALUE(업체현황!O95)&gt;=730,15,IF(DATE(2026,10,23)-DATEVALUE(업체현황!O95)&gt;=365,10,0)))</x:f>
        <x:v>20</x:v>
      </x:c>
      <x:c r="I95" t="n">
        <x:f>IF(업체현황!P95="중대",30,IF(업체현황!P95="경미",15,0))</x:f>
        <x:v>0</x:v>
      </x:c>
      <x:c r="J95" t="n">
        <x:f>IF(업체현황!L95="폐업",0,IF(업체현황!L95="휴업",10,0))</x:f>
        <x:v>0</x:v>
      </x:c>
      <x:c r="K95" t="n">
        <x:f>SUM(G95:J95)</x:f>
        <x:v>20</x:v>
      </x:c>
      <x:c r="L95" t="str">
        <x:f>IF(K95&gt;=70,"고위험",IF(K95&gt;=40,"주의","일반"))</x:f>
        <x:v>일반</x:v>
      </x:c>
      <x:c r="M95" t="str">
        <x:f>IF(K95&gt;=70,"우선 검토",IF(K95&gt;=40,"모니터링","정기관리"))</x:f>
        <x:v>정기관리</x:v>
      </x:c>
    </x:row>
    <x:row r="96" ht="21" customHeight="1">
      <x:c r="A96" t="str">
        <x:f>업체현황!A96</x:f>
        <x:v>EXA-0095</x:v>
      </x:c>
      <x:c r="B96" t="str">
        <x:f>업체현황!B96</x:f>
        <x:v>한빛스타환전 095호</x:v>
      </x:c>
      <x:c r="C96" t="str">
        <x:f>업체현황!F96</x:f>
        <x:v>단원구</x:v>
      </x:c>
      <x:c r="D96" s="10" t="n">
        <x:f>SUMIFS(연도별실적!$C$2:$C$401,연도별실적!$A$2:$A$401,A96,연도별실적!$B$2:$B$401,2024)</x:f>
        <x:v>6255</x:v>
      </x:c>
      <x:c r="E96" s="10" t="n">
        <x:f>SUMIFS(연도별실적!$C$2:$C$401,연도별실적!$A$2:$A$401,A96,연도별실적!$B$2:$B$401,2025)</x:f>
        <x:v>4776</x:v>
      </x:c>
      <x:c r="F96" s="8" t="n">
        <x:f>IF(D96=0,0,(E96-D96)/D96)</x:f>
        <x:v>-0.23645083932853717</x:v>
      </x:c>
      <x:c r="G96" t="n">
        <x:f>IF(ABS(F96)&gt;=0.6,30,IF(ABS(F96)&gt;=0.35,20,IF(ABS(F96)&gt;=0.2,10,0)))</x:f>
        <x:v>10</x:v>
      </x:c>
      <x:c r="H96" t="n">
        <x:f>IF(DATE(2026,10,23)-DATEVALUE(업체현황!O96)&gt;=1095,20,IF(DATE(2026,10,23)-DATEVALUE(업체현황!O96)&gt;=730,15,IF(DATE(2026,10,23)-DATEVALUE(업체현황!O96)&gt;=365,10,0)))</x:f>
        <x:v>15</x:v>
      </x:c>
      <x:c r="I96" t="n">
        <x:f>IF(업체현황!P96="중대",30,IF(업체현황!P96="경미",15,0))</x:f>
        <x:v>0</x:v>
      </x:c>
      <x:c r="J96" t="n">
        <x:f>IF(업체현황!L96="폐업",0,IF(업체현황!L96="휴업",10,0))</x:f>
        <x:v>0</x:v>
      </x:c>
      <x:c r="K96" t="n">
        <x:f>SUM(G96:J96)</x:f>
        <x:v>25</x:v>
      </x:c>
      <x:c r="L96" t="str">
        <x:f>IF(K96&gt;=70,"고위험",IF(K96&gt;=40,"주의","일반"))</x:f>
        <x:v>일반</x:v>
      </x:c>
      <x:c r="M96" t="str">
        <x:f>IF(K96&gt;=70,"우선 검토",IF(K96&gt;=40,"모니터링","정기관리"))</x:f>
        <x:v>정기관리</x:v>
      </x:c>
    </x:row>
    <x:row r="97" ht="21" customHeight="1">
      <x:c r="A97" t="str">
        <x:f>업체현황!A97</x:f>
        <x:v>EXA-0096</x:v>
      </x:c>
      <x:c r="B97" t="str">
        <x:f>업체현황!B97</x:f>
        <x:v>단원플러스환전소 096호</x:v>
      </x:c>
      <x:c r="C97" t="str">
        <x:f>업체현황!F97</x:f>
        <x:v>상록구</x:v>
      </x:c>
      <x:c r="D97" s="10" t="n">
        <x:f>SUMIFS(연도별실적!$C$2:$C$401,연도별실적!$A$2:$A$401,A97,연도별실적!$B$2:$B$401,2024)</x:f>
        <x:v>161326</x:v>
      </x:c>
      <x:c r="E97" s="10" t="n">
        <x:f>SUMIFS(연도별실적!$C$2:$C$401,연도별실적!$A$2:$A$401,A97,연도별실적!$B$2:$B$401,2025)</x:f>
        <x:v>252579</x:v>
      </x:c>
      <x:c r="F97" s="8" t="n">
        <x:f>IF(D97=0,0,(E97-D97)/D97)</x:f>
        <x:v>0.5656434796622987</x:v>
      </x:c>
      <x:c r="G97" t="n">
        <x:f>IF(ABS(F97)&gt;=0.6,30,IF(ABS(F97)&gt;=0.35,20,IF(ABS(F97)&gt;=0.2,10,0)))</x:f>
        <x:v>20</x:v>
      </x:c>
      <x:c r="H97" t="n">
        <x:f>IF(DATE(2026,10,23)-DATEVALUE(업체현황!O97)&gt;=1095,20,IF(DATE(2026,10,23)-DATEVALUE(업체현황!O97)&gt;=730,15,IF(DATE(2026,10,23)-DATEVALUE(업체현황!O97)&gt;=365,10,0)))</x:f>
        <x:v>20</x:v>
      </x:c>
      <x:c r="I97" t="n">
        <x:f>IF(업체현황!P97="중대",30,IF(업체현황!P97="경미",15,0))</x:f>
        <x:v>0</x:v>
      </x:c>
      <x:c r="J97" t="n">
        <x:f>IF(업체현황!L97="폐업",0,IF(업체현황!L97="휴업",10,0))</x:f>
        <x:v>0</x:v>
      </x:c>
      <x:c r="K97" t="n">
        <x:f>SUM(G97:J97)</x:f>
        <x:v>40</x:v>
      </x:c>
      <x:c r="L97" t="str">
        <x:f>IF(K97&gt;=70,"고위험",IF(K97&gt;=40,"주의","일반"))</x:f>
        <x:v>주의</x:v>
      </x:c>
      <x:c r="M97" t="str">
        <x:f>IF(K97&gt;=70,"우선 검토",IF(K97&gt;=40,"모니터링","정기관리"))</x:f>
        <x:v>모니터링</x:v>
      </x:c>
    </x:row>
    <x:row r="98" ht="21" customHeight="1">
      <x:c r="A98" t="str">
        <x:f>업체현황!A98</x:f>
        <x:v>EXA-0097</x:v>
      </x:c>
      <x:c r="B98" t="str">
        <x:f>업체현황!B98</x:f>
        <x:v>세명플러스환전 097호</x:v>
      </x:c>
      <x:c r="C98" t="str">
        <x:f>업체현황!F98</x:f>
        <x:v>상록구</x:v>
      </x:c>
      <x:c r="D98" s="10" t="n">
        <x:f>SUMIFS(연도별실적!$C$2:$C$401,연도별실적!$A$2:$A$401,A98,연도별실적!$B$2:$B$401,2024)</x:f>
        <x:v>208488</x:v>
      </x:c>
      <x:c r="E98" s="10" t="n">
        <x:f>SUMIFS(연도별실적!$C$2:$C$401,연도별실적!$A$2:$A$401,A98,연도별실적!$B$2:$B$401,2025)</x:f>
        <x:v>206137</x:v>
      </x:c>
      <x:c r="F98" s="8" t="n">
        <x:f>IF(D98=0,0,(E98-D98)/D98)</x:f>
        <x:v>-0.011276428379571006</x:v>
      </x:c>
      <x:c r="G98" t="n">
        <x:f>IF(ABS(F98)&gt;=0.6,30,IF(ABS(F98)&gt;=0.35,20,IF(ABS(F98)&gt;=0.2,10,0)))</x:f>
        <x:v>0</x:v>
      </x:c>
      <x:c r="H98" t="n">
        <x:f>IF(DATE(2026,10,23)-DATEVALUE(업체현황!O98)&gt;=1095,20,IF(DATE(2026,10,23)-DATEVALUE(업체현황!O98)&gt;=730,15,IF(DATE(2026,10,23)-DATEVALUE(업체현황!O98)&gt;=365,10,0)))</x:f>
        <x:v>20</x:v>
      </x:c>
      <x:c r="I98" t="n">
        <x:f>IF(업체현황!P98="중대",30,IF(업체현황!P98="경미",15,0))</x:f>
        <x:v>0</x:v>
      </x:c>
      <x:c r="J98" t="n">
        <x:f>IF(업체현황!L98="폐업",0,IF(업체현황!L98="휴업",10,0))</x:f>
        <x:v>10</x:v>
      </x:c>
      <x:c r="K98" t="n">
        <x:f>SUM(G98:J98)</x:f>
        <x:v>30</x:v>
      </x:c>
      <x:c r="L98" t="str">
        <x:f>IF(K98&gt;=70,"고위험",IF(K98&gt;=40,"주의","일반"))</x:f>
        <x:v>일반</x:v>
      </x:c>
      <x:c r="M98" t="str">
        <x:f>IF(K98&gt;=70,"우선 검토",IF(K98&gt;=40,"모니터링","정기관리"))</x:f>
        <x:v>정기관리</x:v>
      </x:c>
    </x:row>
    <x:row r="99" ht="21" customHeight="1">
      <x:c r="A99" t="str">
        <x:f>업체현황!A99</x:f>
        <x:v>EXA-0098</x:v>
      </x:c>
      <x:c r="B99" t="str">
        <x:f>업체현황!B99</x:f>
        <x:v>세명환전 098호</x:v>
      </x:c>
      <x:c r="C99" t="str">
        <x:f>업체현황!F99</x:f>
        <x:v>단원구</x:v>
      </x:c>
      <x:c r="D99" s="10" t="n">
        <x:f>SUMIFS(연도별실적!$C$2:$C$401,연도별실적!$A$2:$A$401,A99,연도별실적!$B$2:$B$401,2024)</x:f>
        <x:v>206267</x:v>
      </x:c>
      <x:c r="E99" s="10" t="n">
        <x:f>SUMIFS(연도별실적!$C$2:$C$401,연도별실적!$A$2:$A$401,A99,연도별실적!$B$2:$B$401,2025)</x:f>
        <x:v>171163</x:v>
      </x:c>
      <x:c r="F99" s="8" t="n">
        <x:f>IF(D99=0,0,(E99-D99)/D99)</x:f>
        <x:v>-0.17018718457145351</x:v>
      </x:c>
      <x:c r="G99" t="n">
        <x:f>IF(ABS(F99)&gt;=0.6,30,IF(ABS(F99)&gt;=0.35,20,IF(ABS(F99)&gt;=0.2,10,0)))</x:f>
        <x:v>0</x:v>
      </x:c>
      <x:c r="H99" t="n">
        <x:f>IF(DATE(2026,10,23)-DATEVALUE(업체현황!O99)&gt;=1095,20,IF(DATE(2026,10,23)-DATEVALUE(업체현황!O99)&gt;=730,15,IF(DATE(2026,10,23)-DATEVALUE(업체현황!O99)&gt;=365,10,0)))</x:f>
        <x:v>0</x:v>
      </x:c>
      <x:c r="I99" t="n">
        <x:f>IF(업체현황!P99="중대",30,IF(업체현황!P99="경미",15,0))</x:f>
        <x:v>0</x:v>
      </x:c>
      <x:c r="J99" t="n">
        <x:f>IF(업체현황!L99="폐업",0,IF(업체현황!L99="휴업",10,0))</x:f>
        <x:v>0</x:v>
      </x:c>
      <x:c r="K99" t="n">
        <x:f>SUM(G99:J99)</x:f>
        <x:v>0</x:v>
      </x:c>
      <x:c r="L99" t="str">
        <x:f>IF(K99&gt;=70,"고위험",IF(K99&gt;=40,"주의","일반"))</x:f>
        <x:v>일반</x:v>
      </x:c>
      <x:c r="M99" t="str">
        <x:f>IF(K99&gt;=70,"우선 검토",IF(K99&gt;=40,"모니터링","정기관리"))</x:f>
        <x:v>정기관리</x:v>
      </x:c>
    </x:row>
    <x:row r="100" ht="21" customHeight="1">
      <x:c r="A100" t="str">
        <x:f>업체현황!A100</x:f>
        <x:v>EXA-0099</x:v>
      </x:c>
      <x:c r="B100" t="str">
        <x:f>업체현황!B100</x:f>
        <x:v>신세계스타환전 099호</x:v>
      </x:c>
      <x:c r="C100" t="str">
        <x:f>업체현황!F100</x:f>
        <x:v>단원구</x:v>
      </x:c>
      <x:c r="D100" s="10" t="n">
        <x:f>SUMIFS(연도별실적!$C$2:$C$401,연도별실적!$A$2:$A$401,A100,연도별실적!$B$2:$B$401,2024)</x:f>
        <x:v>121576</x:v>
      </x:c>
      <x:c r="E100" s="10" t="n">
        <x:f>SUMIFS(연도별실적!$C$2:$C$401,연도별실적!$A$2:$A$401,A100,연도별실적!$B$2:$B$401,2025)</x:f>
        <x:v>161304</x:v>
      </x:c>
      <x:c r="F100" s="8" t="n">
        <x:f>IF(D100=0,0,(E100-D100)/D100)</x:f>
        <x:v>0.32677502138579984</x:v>
      </x:c>
      <x:c r="G100" t="n">
        <x:f>IF(ABS(F100)&gt;=0.6,30,IF(ABS(F100)&gt;=0.35,20,IF(ABS(F100)&gt;=0.2,10,0)))</x:f>
        <x:v>10</x:v>
      </x:c>
      <x:c r="H100" t="n">
        <x:f>IF(DATE(2026,10,23)-DATEVALUE(업체현황!O100)&gt;=1095,20,IF(DATE(2026,10,23)-DATEVALUE(업체현황!O100)&gt;=730,15,IF(DATE(2026,10,23)-DATEVALUE(업체현황!O100)&gt;=365,10,0)))</x:f>
        <x:v>10</x:v>
      </x:c>
      <x:c r="I100" t="n">
        <x:f>IF(업체현황!P100="중대",30,IF(업체현황!P100="경미",15,0))</x:f>
        <x:v>0</x:v>
      </x:c>
      <x:c r="J100" t="n">
        <x:f>IF(업체현황!L100="폐업",0,IF(업체현황!L100="휴업",10,0))</x:f>
        <x:v>10</x:v>
      </x:c>
      <x:c r="K100" t="n">
        <x:f>SUM(G100:J100)</x:f>
        <x:v>30</x:v>
      </x:c>
      <x:c r="L100" t="str">
        <x:f>IF(K100&gt;=70,"고위험",IF(K100&gt;=40,"주의","일반"))</x:f>
        <x:v>일반</x:v>
      </x:c>
      <x:c r="M100" t="str">
        <x:f>IF(K100&gt;=70,"우선 검토",IF(K100&gt;=40,"모니터링","정기관리"))</x:f>
        <x:v>정기관리</x:v>
      </x:c>
    </x:row>
    <x:row r="101" ht="21" customHeight="1">
      <x:c r="A101" t="str">
        <x:f>업체현황!A101</x:f>
        <x:v>EXA-0100</x:v>
      </x:c>
      <x:c r="B101" t="str">
        <x:f>업체현황!B101</x:f>
        <x:v>단원프라임환전 100호</x:v>
      </x:c>
      <x:c r="C101" t="str">
        <x:f>업체현황!F101</x:f>
        <x:v>상록구</x:v>
      </x:c>
      <x:c r="D101" s="10" t="n">
        <x:f>SUMIFS(연도별실적!$C$2:$C$401,연도별실적!$A$2:$A$401,A101,연도별실적!$B$2:$B$401,2024)</x:f>
        <x:v>41050</x:v>
      </x:c>
      <x:c r="E101" s="10" t="n">
        <x:f>SUMIFS(연도별실적!$C$2:$C$401,연도별실적!$A$2:$A$401,A101,연도별실적!$B$2:$B$401,2025)</x:f>
        <x:v>24778</x:v>
      </x:c>
      <x:c r="F101" s="8" t="n">
        <x:f>IF(D101=0,0,(E101-D101)/D101)</x:f>
        <x:v>-0.396394640682095</x:v>
      </x:c>
      <x:c r="G101" t="n">
        <x:f>IF(ABS(F101)&gt;=0.6,30,IF(ABS(F101)&gt;=0.35,20,IF(ABS(F101)&gt;=0.2,10,0)))</x:f>
        <x:v>20</x:v>
      </x:c>
      <x:c r="H101" t="n">
        <x:f>IF(DATE(2026,10,23)-DATEVALUE(업체현황!O101)&gt;=1095,20,IF(DATE(2026,10,23)-DATEVALUE(업체현황!O101)&gt;=730,15,IF(DATE(2026,10,23)-DATEVALUE(업체현황!O101)&gt;=365,10,0)))</x:f>
        <x:v>20</x:v>
      </x:c>
      <x:c r="I101" t="n">
        <x:f>IF(업체현황!P101="중대",30,IF(업체현황!P101="경미",15,0))</x:f>
        <x:v>15</x:v>
      </x:c>
      <x:c r="J101" t="n">
        <x:f>IF(업체현황!L101="폐업",0,IF(업체현황!L101="휴업",10,0))</x:f>
        <x:v>0</x:v>
      </x:c>
      <x:c r="K101" t="n">
        <x:f>SUM(G101:J101)</x:f>
        <x:v>55</x:v>
      </x:c>
      <x:c r="L101" t="str">
        <x:f>IF(K101&gt;=70,"고위험",IF(K101&gt;=40,"주의","일반"))</x:f>
        <x:v>주의</x:v>
      </x:c>
      <x:c r="M101" t="str">
        <x:f>IF(K101&gt;=70,"우선 검토",IF(K101&gt;=40,"모니터링","정기관리"))</x:f>
        <x:v>모니터링</x:v>
      </x:c>
    </x:row>
  </x:sheetData>
  <x:conditionalFormatting sqref="L2:L101">
    <x:cfRule type="expression" dxfId="1" priority="1">
      <x:formula>$L2="고위험"</x:formula>
    </x:cfRule>
    <x:cfRule type="expression" dxfId="2" priority="2">
      <x:formula>$L2="주의"</x:formula>
    </x:cfRule>
    <x:cfRule type="expression" dxfId="3" priority="3">
      <x:formula>$L2="일반"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5" hidden="0" customWidth="1"/>
    <x:col min="4" max="4" width="23" hidden="0" customWidth="1"/>
    <x:col min="5" max="5" width="21" hidden="0" customWidth="1"/>
  </x:cols>
  <x:sheetData>
    <x:row r="1" ht="42" customHeight="1">
      <x:c r="A1" s="16" t="str">
        <x:v>환전업자 현황 및 위험도 대시보드</x:v>
      </x:c>
      <x:c r="B1" s="16" t="str"/>
      <x:c r="C1" s="16" t="str"/>
      <x:c r="D1" s="16" t="str"/>
      <x:c r="E1" s="16" t="str"/>
    </x:row>
    <x:row r="3" ht="28" customHeight="1">
      <x:c r="A3" s="19" t="str">
        <x:v>관리지표</x:v>
      </x:c>
      <x:c r="B3" s="19" t="str">
        <x:v>수치</x:v>
      </x:c>
      <x:c r="D3" s="19" t="str">
        <x:v>위험등급</x:v>
      </x:c>
      <x:c r="E3" s="19" t="str">
        <x:v>업체수</x:v>
      </x:c>
    </x:row>
    <x:row r="4">
      <x:c r="A4" t="str">
        <x:v>전체 업체</x:v>
      </x:c>
      <x:c r="B4" s="10" t="n">
        <x:f>COUNTA(업체현황!A2:A101)</x:f>
        <x:v>100</x:v>
      </x:c>
      <x:c r="D4" t="str">
        <x:v>고위험</x:v>
      </x:c>
      <x:c r="E4" s="10" t="n">
        <x:f>COUNTIF(위험도평가!L2:L101,D4)</x:f>
        <x:v>4</x:v>
      </x:c>
    </x:row>
    <x:row r="5">
      <x:c r="A5" t="str">
        <x:v>영업중</x:v>
      </x:c>
      <x:c r="B5" s="10" t="n">
        <x:f>COUNTIF(업체현황!L2:L101,"영업중")</x:f>
        <x:v>85</x:v>
      </x:c>
      <x:c r="D5" t="str">
        <x:v>주의</x:v>
      </x:c>
      <x:c r="E5" s="10" t="n">
        <x:f>COUNTIF(위험도평가!L2:L101,D5)</x:f>
        <x:v>28</x:v>
      </x:c>
    </x:row>
    <x:row r="6">
      <x:c r="A6" t="str">
        <x:v>단원구</x:v>
      </x:c>
      <x:c r="B6" s="10" t="n">
        <x:f>COUNTIF(업체현황!F2:F101,"단원구")</x:f>
        <x:v>48</x:v>
      </x:c>
      <x:c r="D6" t="str">
        <x:v>일반</x:v>
      </x:c>
      <x:c r="E6" s="10" t="n">
        <x:f>COUNTIF(위험도평가!L2:L101,D6)</x:f>
        <x:v>68</x:v>
      </x:c>
    </x:row>
    <x:row r="7">
      <x:c r="A7" t="str">
        <x:v>상록구</x:v>
      </x:c>
      <x:c r="B7" s="10" t="n">
        <x:f>COUNTIF(업체현황!F2:F101,"상록구")</x:f>
        <x:v>52</x:v>
      </x:c>
      <x:c r="E7" s="10"/>
    </x:row>
    <x:row r="8">
      <x:c r="A8" t="str">
        <x:v>주소 검증 완료</x:v>
      </x:c>
      <x:c r="B8" s="10" t="n">
        <x:f>COUNTIF(업체현황!J2:J101,"검증완료")</x:f>
        <x:v>0</x:v>
      </x:c>
      <x:c r="E8" s="10"/>
    </x:row>
    <x:row r="9" ht="28" customHeight="1">
      <x:c r="D9" s="19" t="str">
        <x:v>영업상태</x:v>
      </x:c>
      <x:c r="E9" s="22" t="str">
        <x:v>업체수</x:v>
      </x:c>
    </x:row>
    <x:row r="10">
      <x:c r="D10" t="str">
        <x:v>영업중</x:v>
      </x:c>
      <x:c r="E10" s="10" t="n">
        <x:f>COUNTIF(업체현황!L2:L101,D10)</x:f>
        <x:v>85</x:v>
      </x:c>
    </x:row>
    <x:row r="11" ht="28" customHeight="1">
      <x:c r="A11" s="19" t="str">
        <x:v>실적연도</x:v>
      </x:c>
      <x:c r="B11" s="19" t="str">
        <x:v>전체환전액(만원)</x:v>
      </x:c>
      <x:c r="D11" t="str">
        <x:v>휴업</x:v>
      </x:c>
      <x:c r="E11" s="10" t="n">
        <x:f>COUNTIF(업체현황!L2:L101,D11)</x:f>
        <x:v>9</x:v>
      </x:c>
    </x:row>
    <x:row r="12">
      <x:c r="A12" t="n">
        <x:v>2023</x:v>
      </x:c>
      <x:c r="B12" s="10" t="n">
        <x:f>SUMIF(연도별실적!B2:B401,A12,연도별실적!C2:C401)</x:f>
        <x:v>13388764</x:v>
      </x:c>
      <x:c r="D12" t="str">
        <x:v>폐업</x:v>
      </x:c>
      <x:c r="E12" s="10" t="n">
        <x:f>COUNTIF(업체현황!L2:L101,D12)</x:f>
        <x:v>6</x:v>
      </x:c>
    </x:row>
    <x:row r="13">
      <x:c r="A13" t="n">
        <x:v>2024</x:v>
      </x:c>
      <x:c r="B13" s="10" t="n">
        <x:f>SUMIF(연도별실적!B2:B401,A13,연도별실적!C2:C401)</x:f>
        <x:v>14599276</x:v>
      </x:c>
    </x:row>
    <x:row r="14">
      <x:c r="A14" t="n">
        <x:v>2025</x:v>
      </x:c>
      <x:c r="B14" s="10" t="n">
        <x:f>SUMIF(연도별실적!B2:B401,A14,연도별실적!C2:C401)</x:f>
        <x:v>16273504</x:v>
      </x:c>
    </x:row>
    <x:row r="15">
      <x:c r="A15" t="n">
        <x:v>2026</x:v>
      </x:c>
      <x:c r="B15" s="10" t="n">
        <x:f>SUMIF(연도별실적!B2:B401,A15,연도별실적!C2:C401)</x:f>
        <x:v>9649198</x:v>
      </x:c>
    </x:row>
    <x:row r="18" ht="28" customHeight="1">
      <x:c r="A18" s="25" t="str">
        <x:v>※ 모든 값은 가상의 테스트 데이터이며 실제 환전업자 및 위험도와 무관합니다.</x:v>
      </x:c>
      <x:c r="B18" s="25" t="str"/>
      <x:c r="C18" s="25" t="str"/>
      <x:c r="D18" s="25" t="str"/>
      <x:c r="E18" s="25" t="str"/>
    </x:row>
  </x:sheetData>
  <x:mergeCells>
    <x:mergeCell ref="A1:E1"/>
    <x:mergeCell ref="A18:E1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0" hidden="0" customWidth="1"/>
    <x:col min="3" max="3" width="38" hidden="0" customWidth="1"/>
    <x:col min="4" max="4" width="18" hidden="0" customWidth="1"/>
  </x:cols>
  <x:sheetData>
    <x:row r="1" ht="31" customHeight="1">
      <x:c r="A1" s="4" t="str">
        <x:v>필드</x:v>
      </x:c>
      <x:c r="B1" s="4" t="str">
        <x:v>허용값</x:v>
      </x:c>
      <x:c r="C1" s="4" t="str">
        <x:v>설명</x:v>
      </x:c>
      <x:c r="D1" s="4" t="str">
        <x:v>메모</x:v>
      </x:c>
    </x:row>
    <x:row r="2" ht="21" customHeight="1">
      <x:c r="A2" t="str">
        <x:v>영업상태</x:v>
      </x:c>
      <x:c r="B2" t="str">
        <x:v>영업중 / 휴업 / 폐업</x:v>
      </x:c>
      <x:c r="C2" t="str">
        <x:v>업체 운영 상태</x:v>
      </x:c>
      <x:c r="D2" t="str">
        <x:v>가상</x:v>
      </x:c>
    </x:row>
    <x:row r="3" ht="21" customHeight="1">
      <x:c r="A3" t="str">
        <x:v>위반이력</x:v>
      </x:c>
      <x:c r="B3" t="str">
        <x:v>없음 / 경미 / 중대</x:v>
      </x:c>
      <x:c r="C3" t="str">
        <x:v>위험도 시범 점수용</x:v>
      </x:c>
      <x:c r="D3" t="str">
        <x:v>가상</x:v>
      </x:c>
    </x:row>
    <x:row r="4" ht="21" customHeight="1">
      <x:c r="A4" t="str">
        <x:v>지오코딩상태</x:v>
      </x:c>
      <x:c r="B4" t="str">
        <x:v>미검증 / 검증완료 / 실패</x:v>
      </x:c>
      <x:c r="C4" t="str">
        <x:v>주소→좌표 변환 결과</x:v>
      </x:c>
      <x:c r="D4" t="str">
        <x:v>기본값 미검증</x:v>
      </x:c>
    </x:row>
    <x:row r="5" ht="21" customHeight="1">
      <x:c r="A5" t="str">
        <x:v>위험등급</x:v>
      </x:c>
      <x:c r="B5" t="str">
        <x:v>일반 / 주의 / 고위험</x:v>
      </x:c>
      <x:c r="C5" t="str">
        <x:v>평가 시트 산출값</x:v>
      </x:c>
      <x:c r="D5" t="str">
        <x:v>가상 규칙</x:v>
      </x:c>
    </x:row>
    <x:row r="6" ht="21" customHeight="1">
      <x:c r="A6" t="str">
        <x:v>점검구분</x:v>
      </x:c>
      <x:c r="B6" t="str">
        <x:v>정기 / 수시 / 서면</x:v>
      </x:c>
      <x:c r="C6" t="str">
        <x:v>점검 유형</x:v>
      </x:c>
      <x:c r="D6" t="str">
        <x:v>가상</x:v>
      </x:c>
    </x:row>
    <x:row r="7" ht="21" customHeight="1">
      <x:c r="A7" t="str">
        <x:v>후속조치</x:v>
      </x:c>
      <x:c r="B7" t="str">
        <x:v>종결 / 보완완료 / 조치중 / 추가확인</x:v>
      </x:c>
      <x:c r="C7" t="str">
        <x:v>점검 결과 처리</x:v>
      </x:c>
      <x:c r="D7" t="str">
        <x:v>가상</x:v>
      </x:c>
    </x:row>
    <x:row r="8" ht="21" customHeight="1">
      <x:c r="A8" t="str">
        <x:v>실적연도</x:v>
      </x:c>
      <x:c r="B8" t="str">
        <x:v>2023 / 2024 / 2025 / 2026</x:v>
      </x:c>
      <x:c r="C8" t="str">
        <x:v>2026은 1~3분기만</x:v>
      </x:c>
      <x:c r="D8" t="str">
        <x:v>모의</x:v>
      </x:c>
    </x:row>
    <x:row r="9" ht="21" customHeight="1">
      <x:c r="A9" t="str">
        <x:v>식별키</x:v>
      </x:c>
      <x:c r="B9" t="str">
        <x:v>EXA-0001 ~ EXA-0100</x:v>
      </x:c>
      <x:c r="C9" t="str">
        <x:v>시트 연결용 ID</x:v>
      </x:c>
      <x:c r="D9" t="str">
        <x:v>고유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95" hidden="0" customWidth="1"/>
  </x:cols>
  <x:sheetData>
    <x:row r="1">
      <x:c r="A1" s="29" t="str">
        <x:v>항목</x:v>
      </x:c>
      <x:c r="B1" s="29" t="str">
        <x:v>설명</x:v>
      </x:c>
    </x:row>
    <x:row r="2">
      <x:c r="A2" t="str">
        <x:v>주소의 성격</x:v>
      </x:c>
      <x:c r="B2" s="30" t="str">
        <x:v>실제 환전소 주소가 아닌 각 동 행정복지센터의 주소를 활용한 지도 테스트용 기준점</x:v>
      </x:c>
    </x:row>
    <x:row r="3">
      <x:c r="A3" t="str">
        <x:v>지역 범위</x:v>
      </x:c>
      <x:c r="B3" s="30" t="str">
        <x:v>안산시 전체 2개 구, 25개 행정동 기준점 (상록구 13개, 단원구 12개)</x:v>
      </x:c>
    </x:row>
    <x:row r="4">
      <x:c r="A4" t="str">
        <x:v>가상 업체 수</x:v>
      </x:c>
      <x:c r="B4" s="30" t="str">
        <x:v>100개 업체의 상호·대표자·실적·위험도 등은 기존과 동일</x:v>
      </x:c>
    </x:row>
    <x:row r="5">
      <x:c r="A5" t="str">
        <x:v>중복 주소</x:v>
      </x:c>
      <x:c r="B5" s="30" t="str">
        <x:v>100개 업체가 25개 기준점 주소를 반복 사용하므로 일부 마커가 겹칠 수 있음</x:v>
      </x:c>
    </x:row>
    <x:row r="6">
      <x:c r="A6" t="str">
        <x:v>좌표 입력</x:v>
      </x:c>
      <x:c r="B6" s="30" t="str">
        <x:v>위도·경도는 공란. FXGIS에서 미확인 주소 변환 실행</x:v>
      </x:c>
    </x:row>
    <x:row r="7">
      <x:c r="A7" t="str">
        <x:v>출처(상록구)</x:v>
      </x:c>
      <x:c r="B7" s="30" t="str">
        <x:v>https://www.ansan.go.kr/sangnokgu/common/cntnts/selectContents.do?cntnts_id=C0000052</x:v>
      </x:c>
    </x:row>
    <x:row r="8">
      <x:c r="A8" t="str">
        <x:v>출처(단원구)</x:v>
      </x:c>
      <x:c r="B8" s="30" t="str">
        <x:v>https://www.ansan.go.kr/danwongu/common/cntnts/selectContents.do?cntnts_id=C0000403</x:v>
      </x:c>
    </x:row>
  </x:sheetData>
  <x:pageMargins left="0.7" right="0.7" top="0.75" bottom="0.75" header="0.3" footer="0.3"/>
</x:worksheet>
</file>