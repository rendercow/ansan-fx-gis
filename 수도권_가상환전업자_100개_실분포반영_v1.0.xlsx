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이용안내" sheetId="1" state="visible" r:id="rId1"/>
    <sheet xmlns:r="http://schemas.openxmlformats.org/officeDocument/2006/relationships" name="업체현황" sheetId="2" state="visible" r:id="rId2"/>
    <sheet xmlns:r="http://schemas.openxmlformats.org/officeDocument/2006/relationships" name="연도별실적" sheetId="3" state="visible" r:id="rId3"/>
    <sheet xmlns:r="http://schemas.openxmlformats.org/officeDocument/2006/relationships" name="점검이력" sheetId="4" state="visible" r:id="rId4"/>
    <sheet xmlns:r="http://schemas.openxmlformats.org/officeDocument/2006/relationships" name="위험도평가" sheetId="5" state="visible" r:id="rId5"/>
    <sheet xmlns:r="http://schemas.openxmlformats.org/officeDocument/2006/relationships" name="대시보드" sheetId="6" state="visible" r:id="rId6"/>
    <sheet xmlns:r="http://schemas.openxmlformats.org/officeDocument/2006/relationships" name="코드표" sheetId="7" state="visible" r:id="rId7"/>
    <sheet xmlns:r="http://schemas.openxmlformats.org/officeDocument/2006/relationships" name="주소기준_안내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985C12"/>
      <sz val="11"/>
    </font>
    <font>
      <name val="Carlito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2365B"/>
      </patternFill>
    </fill>
    <fill>
      <patternFill patternType="solid">
        <fgColor rgb="FFE9F3F9"/>
      </patternFill>
    </fill>
    <fill>
      <patternFill patternType="solid">
        <fgColor rgb="FF176A9B"/>
      </patternFill>
    </fill>
    <fill>
      <patternFill patternType="solid">
        <fgColor rgb="FFFFF3DF"/>
      </patternFill>
    </fill>
    <fill>
      <patternFill patternType="solid">
        <fgColor rgb="FF123456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164" fontId="0" fillId="0" borderId="0" pivotButton="0" quotePrefix="0" xfId="0"/>
    <xf numFmtId="164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3" fontId="1" fillId="4" borderId="0" pivotButton="0" quotePrefix="0" xfId="0"/>
    <xf numFmtId="3" fontId="1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0" borderId="0" pivotButton="0" quotePrefix="0" xfId="0"/>
    <xf numFmtId="0" fontId="0" fillId="6" borderId="0" pivotButton="0" quotePrefix="0" xfId="0"/>
    <xf numFmtId="0" fontId="5" fillId="6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3" fontId="1" fillId="4" borderId="0" pivotButton="0" quotePrefix="0" xfId="0"/>
    <xf numFmtId="0" fontId="4" fillId="5" borderId="1" pivotButton="0" quotePrefix="0" xfId="0"/>
  </cellXfs>
  <cellStyles count="1">
    <cellStyle name="Normal" xfId="0"/>
  </cellStyles>
  <dxfs count="4">
    <dxf>
      <fill>
        <patternFill>
          <bgColor rgb="FFFEE2E2"/>
        </patternFill>
      </fill>
    </dxf>
    <dxf>
      <font>
        <b val="1"/>
        <color rgb="FF9A1919"/>
      </font>
      <fill>
        <patternFill>
          <bgColor rgb="FFFCE8E6"/>
        </patternFill>
      </fill>
    </dxf>
    <dxf>
      <font>
        <color rgb="FF8B5E05"/>
      </font>
      <fill>
        <patternFill>
          <bgColor rgb="FFFFF0CA"/>
        </patternFill>
      </fill>
    </dxf>
    <dxf>
      <font>
        <color rgb="FF146C3E"/>
      </font>
      <fill>
        <patternFill>
          <bgColor rgb="FFE7F5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style="26" min="1" max="1"/>
    <col width="105" customWidth="1" style="26" min="2" max="2"/>
  </cols>
  <sheetData>
    <row r="1" ht="35" customHeight="1" s="26">
      <c r="A1" s="3" t="inlineStr">
        <is>
          <t>수도권 환전업자 GIS 위험관리 시제품 — 데이터 사용 안내</t>
        </is>
      </c>
      <c r="B1" s="3" t="str"/>
    </row>
    <row r="2" ht="30" customHeight="1" s="26">
      <c r="A2" s="13" t="inlineStr">
        <is>
          <t>데이터 성격</t>
        </is>
      </c>
      <c r="B2" t="inlineStr">
        <is>
          <t>100% 합성·가상 업체. 상호, 대표자, 실적, 검사이력 모두 실제 자료 아님.</t>
        </is>
      </c>
    </row>
    <row r="3" ht="30" customHeight="1" s="26">
      <c r="A3" s="13" t="inlineStr">
        <is>
          <t>지역 범위</t>
        </is>
      </c>
      <c r="B3" t="inlineStr">
        <is>
          <t>안산 원곡동 38개 / 시흥 정왕시장 24개 / 부천 23개 / 부평 10개 / 김포 4개 / 계양 1개</t>
        </is>
      </c>
    </row>
    <row r="4" ht="30" customHeight="1" s="26">
      <c r="A4" s="13" t="inlineStr">
        <is>
          <t>주소 정확도</t>
        </is>
      </c>
      <c r="B4" t="inlineStr">
        <is>
          <t>시연 현실감을 높이기 위해 수도권 주요 분포를 반영한 도로명 주소(가상·미검증). 건물 상세번지 정확성은 보장하지 않음.</t>
        </is>
      </c>
    </row>
    <row r="5" ht="30" customHeight="1" s="26">
      <c r="A5" s="13" t="inlineStr">
        <is>
          <t>지도 연동</t>
        </is>
      </c>
      <c r="B5" t="inlineStr">
        <is>
          <t>지오코딩 상태가 '미검증'인 행은 카카오 주소 변환 후 위도/경도를 채워야 함.</t>
        </is>
      </c>
    </row>
    <row r="6" ht="30" customHeight="1" s="26">
      <c r="A6" s="13" t="inlineStr">
        <is>
          <t>주의</t>
        </is>
      </c>
      <c r="B6" t="inlineStr">
        <is>
          <t>주소가 변환되지 않으면 지도 아이콘을 표시하지 말고 오류 목록에 남길 것.</t>
        </is>
      </c>
    </row>
    <row r="7" ht="30" customHeight="1" s="26">
      <c r="A7" s="13" t="inlineStr">
        <is>
          <t>업체ID</t>
        </is>
      </c>
      <c r="B7" t="inlineStr">
        <is>
          <t>각 시트 간 연결 키. 임의 변경 금지. Supabase UNIQUE 키로 사용 가능.</t>
        </is>
      </c>
    </row>
    <row r="8" ht="30" customHeight="1" s="26">
      <c r="A8" s="13" t="inlineStr">
        <is>
          <t>금액 단위</t>
        </is>
      </c>
      <c r="B8" t="inlineStr">
        <is>
          <t>만원(KRW). 실적 값은 완전 랜덤 합성.</t>
        </is>
      </c>
    </row>
    <row r="9" ht="30" customHeight="1" s="26">
      <c r="A9" s="13" t="inlineStr">
        <is>
          <t>2026년 실적</t>
        </is>
      </c>
      <c r="B9" t="inlineStr">
        <is>
          <t>1~3분기 누계(가상)이며 2025년 연간과 단순 증감 비교 금지.</t>
        </is>
      </c>
    </row>
    <row r="10" ht="30" customHeight="1" s="26">
      <c r="A10" s="13" t="inlineStr">
        <is>
          <t>위험점수</t>
        </is>
      </c>
      <c r="B10" t="inlineStr">
        <is>
          <t>실적변동 30 + 점검경과 20 + 위반이력 30 + 휴업여부 20 (최대 100)</t>
        </is>
      </c>
    </row>
    <row r="11" ht="30" customHeight="1" s="26">
      <c r="A11" s="13" t="inlineStr">
        <is>
          <t>고위험</t>
        </is>
      </c>
      <c r="B11" t="inlineStr">
        <is>
          <t>70점 이상 / 주의 40~69점 / 일반 0~39점. 업무용 확정 기준 아님.</t>
        </is>
      </c>
    </row>
    <row r="12" ht="30" customHeight="1" s="26">
      <c r="A12" s="13" t="inlineStr">
        <is>
          <t>평가기준일</t>
        </is>
      </c>
      <c r="B12" t="inlineStr">
        <is>
          <t>2026-10-23. 점검경과 점수는 이 날짜 기준으로 계산.</t>
        </is>
      </c>
    </row>
    <row r="13" ht="30" customHeight="1" s="26">
      <c r="A13" s="13" t="inlineStr">
        <is>
          <t>개인정보</t>
        </is>
      </c>
      <c r="B13" t="inlineStr">
        <is>
          <t>실제 업무자료를 GitHub 저장소에 올리지 말 것. 외부 Supabase는 기관 승인 후 사용.</t>
        </is>
      </c>
    </row>
    <row r="14" ht="30" customHeight="1" s="26">
      <c r="A14" s="13" t="inlineStr">
        <is>
          <t>공동사용</t>
        </is>
      </c>
      <c r="B14" t="inlineStr">
        <is>
          <t>GitHub Pages는 화면 제공, Supabase Auth/RLS는 접근권한을 따로 설계.</t>
        </is>
      </c>
    </row>
    <row r="15" ht="30" customHeight="1" s="26">
      <c r="A15" s="13" t="inlineStr">
        <is>
          <t>테스트 절차</t>
        </is>
      </c>
      <c r="B15" t="inlineStr">
        <is>
          <t>주소 지오코딩 → 실패 주소 정정 → 좌표 저장 → 아이콘 지도 표시.</t>
        </is>
      </c>
    </row>
    <row r="16" ht="30" customHeight="1" s="26">
      <c r="A16" s="13" t="inlineStr">
        <is>
          <t>운영 전 검토</t>
        </is>
      </c>
      <c r="B16" t="inlineStr">
        <is>
          <t>기관망 접속허용·지도 API·외부클라우드·개인정보·접근기록/보안 검토 필요.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26" min="1" max="1"/>
    <col width="31" customWidth="1" style="26" min="2" max="2"/>
    <col width="15" customWidth="1" style="26" min="3" max="3"/>
    <col width="12" customWidth="1" style="26" min="4" max="4"/>
    <col width="13" customWidth="1" style="26" min="5" max="5"/>
    <col width="12" customWidth="1" style="26" min="6" max="6"/>
    <col width="42" customWidth="1" style="26" min="7" max="7"/>
    <col width="15" customWidth="1" style="26" min="8" max="8"/>
    <col width="15" customWidth="1" style="26" min="9" max="9"/>
    <col width="17" customWidth="1" style="26" min="10" max="10"/>
    <col width="16" customWidth="1" style="26" min="11" max="11"/>
    <col width="12" customWidth="1" style="26" min="12" max="12"/>
    <col width="15" customWidth="1" style="26" min="13" max="13"/>
    <col width="17" customWidth="1" style="26" min="14" max="14"/>
    <col width="18" customWidth="1" style="26" min="15" max="15"/>
    <col width="17" customWidth="1" style="26" min="16" max="16"/>
    <col width="14" customWidth="1" style="26" min="17" max="17"/>
    <col width="28" customWidth="1" style="26" min="18" max="18"/>
  </cols>
  <sheetData>
    <row r="1" ht="31" customHeight="1" s="26">
      <c r="A1" s="4" t="inlineStr">
        <is>
          <t>업체ID</t>
        </is>
      </c>
      <c r="B1" s="4" t="inlineStr">
        <is>
          <t>상호(가상)</t>
        </is>
      </c>
      <c r="C1" s="4" t="inlineStr">
        <is>
          <t>대표자(가상)</t>
        </is>
      </c>
      <c r="D1" s="4" t="inlineStr">
        <is>
          <t>시도</t>
        </is>
      </c>
      <c r="E1" s="4" t="inlineStr">
        <is>
          <t>시군구</t>
        </is>
      </c>
      <c r="F1" s="4" t="inlineStr">
        <is>
          <t>구</t>
        </is>
      </c>
      <c r="G1" s="4" t="inlineStr">
        <is>
          <t>도로명주소(미검증)</t>
        </is>
      </c>
      <c r="H1" s="4" t="inlineStr">
        <is>
          <t>위도</t>
        </is>
      </c>
      <c r="I1" s="4" t="inlineStr">
        <is>
          <t>경도</t>
        </is>
      </c>
      <c r="J1" s="4" t="inlineStr">
        <is>
          <t>지오코딩상태</t>
        </is>
      </c>
      <c r="K1" s="4" t="inlineStr">
        <is>
          <t>등록일(가상)</t>
        </is>
      </c>
      <c r="L1" s="4" t="inlineStr">
        <is>
          <t>영업상태</t>
        </is>
      </c>
      <c r="M1" s="4" t="inlineStr">
        <is>
          <t>업체유형(가상)</t>
        </is>
      </c>
      <c r="N1" s="4" t="inlineStr">
        <is>
          <t>입지구분(가상)</t>
        </is>
      </c>
      <c r="O1" s="4" t="inlineStr">
        <is>
          <t>최종점검일(가상)</t>
        </is>
      </c>
      <c r="P1" s="4" t="inlineStr">
        <is>
          <t>위반이력(가상)</t>
        </is>
      </c>
      <c r="Q1" s="4" t="inlineStr">
        <is>
          <t>관리담당</t>
        </is>
      </c>
      <c r="R1" s="4" t="inlineStr">
        <is>
          <t>비고</t>
        </is>
      </c>
    </row>
    <row r="2" ht="21" customHeight="1" s="26">
      <c r="A2" t="inlineStr">
        <is>
          <t>EXA-0001</t>
        </is>
      </c>
      <c r="B2" t="inlineStr">
        <is>
          <t>삼일플러스익스체인지 001호</t>
        </is>
      </c>
      <c r="C2" t="inlineStr">
        <is>
          <t>오현희</t>
        </is>
      </c>
      <c r="D2" t="inlineStr">
        <is>
          <t>경기도</t>
        </is>
      </c>
      <c r="E2" t="inlineStr">
        <is>
          <t>시흥시</t>
        </is>
      </c>
      <c r="F2" t="inlineStr">
        <is>
          <t>정왕시장</t>
        </is>
      </c>
      <c r="G2" t="inlineStr">
        <is>
          <t>경기도 시흥시 정왕동 정왕시장길 15</t>
        </is>
      </c>
      <c r="J2" t="inlineStr">
        <is>
          <t>미검증</t>
        </is>
      </c>
      <c r="K2" t="inlineStr">
        <is>
          <t>2019-03-26</t>
        </is>
      </c>
      <c r="L2" t="inlineStr">
        <is>
          <t>영업중</t>
        </is>
      </c>
      <c r="M2" t="inlineStr">
        <is>
          <t>개인</t>
        </is>
      </c>
      <c r="N2" t="inlineStr">
        <is>
          <t>일반</t>
        </is>
      </c>
      <c r="O2" t="inlineStr">
        <is>
          <t>2025-06-21</t>
        </is>
      </c>
      <c r="P2" t="inlineStr">
        <is>
          <t>없음</t>
        </is>
      </c>
      <c r="Q2" t="inlineStr">
        <is>
          <t>담당4</t>
        </is>
      </c>
      <c r="R2" t="inlineStr">
        <is>
          <t>가상 데이터 / 실분포 반영 시연용</t>
        </is>
      </c>
    </row>
    <row r="3" ht="21" customHeight="1" s="26">
      <c r="A3" t="inlineStr">
        <is>
          <t>EXA-0002</t>
        </is>
      </c>
      <c r="B3" t="inlineStr">
        <is>
          <t>다정스타환전소 002호</t>
        </is>
      </c>
      <c r="C3" t="inlineStr">
        <is>
          <t>임영준</t>
        </is>
      </c>
      <c r="D3" t="inlineStr">
        <is>
          <t>경기도</t>
        </is>
      </c>
      <c r="E3" t="inlineStr">
        <is>
          <t>안산시</t>
        </is>
      </c>
      <c r="F3" t="inlineStr">
        <is>
          <t>원곡동</t>
        </is>
      </c>
      <c r="G3" t="inlineStr">
        <is>
          <t>경기도 안산시 단원구 원곡동 다문화길 18</t>
        </is>
      </c>
      <c r="J3" t="inlineStr">
        <is>
          <t>미검증</t>
        </is>
      </c>
      <c r="K3" t="inlineStr">
        <is>
          <t>2017-05-22</t>
        </is>
      </c>
      <c r="L3" t="inlineStr">
        <is>
          <t>영업중</t>
        </is>
      </c>
      <c r="M3" t="inlineStr">
        <is>
          <t>개인</t>
        </is>
      </c>
      <c r="N3" t="inlineStr">
        <is>
          <t>상업지역</t>
        </is>
      </c>
      <c r="O3" t="inlineStr">
        <is>
          <t>2023-12-04</t>
        </is>
      </c>
      <c r="P3" t="inlineStr">
        <is>
          <t>없음</t>
        </is>
      </c>
      <c r="Q3" t="inlineStr">
        <is>
          <t>담당2</t>
        </is>
      </c>
      <c r="R3" t="inlineStr">
        <is>
          <t>가상 데이터 / 실분포 반영 시연용</t>
        </is>
      </c>
    </row>
    <row r="4" ht="21" customHeight="1" s="26">
      <c r="A4" t="inlineStr">
        <is>
          <t>EXA-0003</t>
        </is>
      </c>
      <c r="B4" t="inlineStr">
        <is>
          <t>세명프라임외환서비스 003호</t>
        </is>
      </c>
      <c r="C4" t="inlineStr">
        <is>
          <t>오민지</t>
        </is>
      </c>
      <c r="D4" t="inlineStr">
        <is>
          <t>경기도</t>
        </is>
      </c>
      <c r="E4" t="inlineStr">
        <is>
          <t>시흥시</t>
        </is>
      </c>
      <c r="F4" t="inlineStr">
        <is>
          <t>정왕시장</t>
        </is>
      </c>
      <c r="G4" t="inlineStr">
        <is>
          <t>경기도 시흥시 정왕동 중심상가로 28</t>
        </is>
      </c>
      <c r="J4" t="inlineStr">
        <is>
          <t>미검증</t>
        </is>
      </c>
      <c r="K4" t="inlineStr">
        <is>
          <t>2014-05-10</t>
        </is>
      </c>
      <c r="L4" t="inlineStr">
        <is>
          <t>영업중</t>
        </is>
      </c>
      <c r="M4" t="inlineStr">
        <is>
          <t>법인</t>
        </is>
      </c>
      <c r="N4" t="inlineStr">
        <is>
          <t>관광지 인접</t>
        </is>
      </c>
      <c r="O4" t="inlineStr">
        <is>
          <t>2023-07-19</t>
        </is>
      </c>
      <c r="P4" t="inlineStr">
        <is>
          <t>경미</t>
        </is>
      </c>
      <c r="Q4" t="inlineStr">
        <is>
          <t>담당1</t>
        </is>
      </c>
      <c r="R4" t="inlineStr">
        <is>
          <t>가상 데이터 / 실분포 반영 시연용</t>
        </is>
      </c>
    </row>
    <row r="5" ht="21" customHeight="1" s="26">
      <c r="A5" t="inlineStr">
        <is>
          <t>EXA-0004</t>
        </is>
      </c>
      <c r="B5" t="inlineStr">
        <is>
          <t>태양환전소 004호</t>
        </is>
      </c>
      <c r="C5" t="inlineStr">
        <is>
          <t>한도진</t>
        </is>
      </c>
      <c r="D5" t="inlineStr">
        <is>
          <t>경기도</t>
        </is>
      </c>
      <c r="E5" t="inlineStr">
        <is>
          <t>부천시</t>
        </is>
      </c>
      <c r="F5" t="inlineStr">
        <is>
          <t>부천</t>
        </is>
      </c>
      <c r="G5" t="inlineStr">
        <is>
          <t>경기도 부천시 부천로 24</t>
        </is>
      </c>
      <c r="J5" t="inlineStr">
        <is>
          <t>미검증</t>
        </is>
      </c>
      <c r="K5" t="inlineStr">
        <is>
          <t>2017-04-22</t>
        </is>
      </c>
      <c r="L5" t="inlineStr">
        <is>
          <t>영업중</t>
        </is>
      </c>
      <c r="M5" t="inlineStr">
        <is>
          <t>개인</t>
        </is>
      </c>
      <c r="N5" t="inlineStr">
        <is>
          <t>관광지 인접</t>
        </is>
      </c>
      <c r="O5" t="inlineStr">
        <is>
          <t>2026-08-08</t>
        </is>
      </c>
      <c r="P5" t="inlineStr">
        <is>
          <t>없음</t>
        </is>
      </c>
      <c r="Q5" t="inlineStr">
        <is>
          <t>담당2</t>
        </is>
      </c>
      <c r="R5" t="inlineStr">
        <is>
          <t>가상 데이터 / 실분포 반영 시연용</t>
        </is>
      </c>
    </row>
    <row r="6" ht="21" customHeight="1" s="26">
      <c r="A6" t="inlineStr">
        <is>
          <t>EXA-0005</t>
        </is>
      </c>
      <c r="B6" t="inlineStr">
        <is>
          <t>중앙스타환전 005호</t>
        </is>
      </c>
      <c r="C6" t="inlineStr">
        <is>
          <t>조서석</t>
        </is>
      </c>
      <c r="D6" t="inlineStr">
        <is>
          <t>경기도</t>
        </is>
      </c>
      <c r="E6" t="inlineStr">
        <is>
          <t>시흥시</t>
        </is>
      </c>
      <c r="F6" t="inlineStr">
        <is>
          <t>정왕시장</t>
        </is>
      </c>
      <c r="G6" t="inlineStr">
        <is>
          <t>경기도 시흥시 정왕동 정왕대로 41</t>
        </is>
      </c>
      <c r="J6" t="inlineStr">
        <is>
          <t>미검증</t>
        </is>
      </c>
      <c r="K6" t="inlineStr">
        <is>
          <t>2021-07-23</t>
        </is>
      </c>
      <c r="L6" t="inlineStr">
        <is>
          <t>영업중</t>
        </is>
      </c>
      <c r="M6" t="inlineStr">
        <is>
          <t>일반</t>
        </is>
      </c>
      <c r="N6" t="inlineStr">
        <is>
          <t>상업지역</t>
        </is>
      </c>
      <c r="O6" t="inlineStr">
        <is>
          <t>2024-04-25</t>
        </is>
      </c>
      <c r="P6" t="inlineStr">
        <is>
          <t>경미</t>
        </is>
      </c>
      <c r="Q6" t="inlineStr">
        <is>
          <t>담당4</t>
        </is>
      </c>
      <c r="R6" t="inlineStr">
        <is>
          <t>가상 데이터 / 실분포 반영 시연용</t>
        </is>
      </c>
    </row>
    <row r="7" ht="21" customHeight="1" s="26">
      <c r="A7" t="inlineStr">
        <is>
          <t>EXA-0006</t>
        </is>
      </c>
      <c r="B7" t="inlineStr">
        <is>
          <t>동서스타환전 006호</t>
        </is>
      </c>
      <c r="C7" t="inlineStr">
        <is>
          <t>홍우준</t>
        </is>
      </c>
      <c r="D7" t="inlineStr">
        <is>
          <t>경기도</t>
        </is>
      </c>
      <c r="E7" t="inlineStr">
        <is>
          <t>안산시</t>
        </is>
      </c>
      <c r="F7" t="inlineStr">
        <is>
          <t>원곡동</t>
        </is>
      </c>
      <c r="G7" t="inlineStr">
        <is>
          <t>경기도 안산시 단원구 원곡동 원곡로 37</t>
        </is>
      </c>
      <c r="J7" t="inlineStr">
        <is>
          <t>미검증</t>
        </is>
      </c>
      <c r="K7" t="inlineStr">
        <is>
          <t>2020-06-06</t>
        </is>
      </c>
      <c r="L7" t="inlineStr">
        <is>
          <t>영업중</t>
        </is>
      </c>
      <c r="M7" t="inlineStr">
        <is>
          <t>개인</t>
        </is>
      </c>
      <c r="N7" t="inlineStr">
        <is>
          <t>관광지 인접</t>
        </is>
      </c>
      <c r="O7" t="inlineStr">
        <is>
          <t>2026-08-23</t>
        </is>
      </c>
      <c r="P7" t="inlineStr">
        <is>
          <t>없음</t>
        </is>
      </c>
      <c r="Q7" t="inlineStr">
        <is>
          <t>담당1</t>
        </is>
      </c>
      <c r="R7" t="inlineStr">
        <is>
          <t>가상 데이터 / 실분포 반영 시연용</t>
        </is>
      </c>
    </row>
    <row r="8" ht="21" customHeight="1" s="26">
      <c r="A8" t="inlineStr">
        <is>
          <t>EXA-0007</t>
        </is>
      </c>
      <c r="B8" t="inlineStr">
        <is>
          <t>국제프라임환전 007호</t>
        </is>
      </c>
      <c r="C8" t="inlineStr">
        <is>
          <t>박준진</t>
        </is>
      </c>
      <c r="D8" t="inlineStr">
        <is>
          <t>경기도</t>
        </is>
      </c>
      <c r="E8" t="inlineStr">
        <is>
          <t>부천시</t>
        </is>
      </c>
      <c r="F8" t="inlineStr">
        <is>
          <t>부천</t>
        </is>
      </c>
      <c r="G8" t="inlineStr">
        <is>
          <t>경기도 부천시 중동로 40</t>
        </is>
      </c>
      <c r="J8" t="inlineStr">
        <is>
          <t>미검증</t>
        </is>
      </c>
      <c r="K8" t="inlineStr">
        <is>
          <t>2014-08-03</t>
        </is>
      </c>
      <c r="L8" t="inlineStr">
        <is>
          <t>영업중</t>
        </is>
      </c>
      <c r="M8" t="inlineStr">
        <is>
          <t>일반</t>
        </is>
      </c>
      <c r="N8" t="inlineStr">
        <is>
          <t>관광지 인접</t>
        </is>
      </c>
      <c r="O8" t="inlineStr">
        <is>
          <t>2024-12-01</t>
        </is>
      </c>
      <c r="P8" t="inlineStr">
        <is>
          <t>없음</t>
        </is>
      </c>
      <c r="Q8" t="inlineStr">
        <is>
          <t>담당3</t>
        </is>
      </c>
      <c r="R8" t="inlineStr">
        <is>
          <t>가상 데이터 / 실분포 반영 시연용</t>
        </is>
      </c>
    </row>
    <row r="9" ht="21" customHeight="1" s="26">
      <c r="A9" t="inlineStr">
        <is>
          <t>EXA-0008</t>
        </is>
      </c>
      <c r="B9" t="inlineStr">
        <is>
          <t>다정프라임환전 008호</t>
        </is>
      </c>
      <c r="C9" t="inlineStr">
        <is>
          <t>이예아</t>
        </is>
      </c>
      <c r="D9" t="inlineStr">
        <is>
          <t>경기도</t>
        </is>
      </c>
      <c r="E9" t="inlineStr">
        <is>
          <t>부천시</t>
        </is>
      </c>
      <c r="F9" t="inlineStr">
        <is>
          <t>부천</t>
        </is>
      </c>
      <c r="G9" t="inlineStr">
        <is>
          <t>경기도 부천시 길주로 50</t>
        </is>
      </c>
      <c r="J9" t="inlineStr">
        <is>
          <t>미검증</t>
        </is>
      </c>
      <c r="K9" t="inlineStr">
        <is>
          <t>2014-09-17</t>
        </is>
      </c>
      <c r="L9" t="inlineStr">
        <is>
          <t>영업중</t>
        </is>
      </c>
      <c r="M9" t="inlineStr">
        <is>
          <t>개인</t>
        </is>
      </c>
      <c r="N9" t="inlineStr">
        <is>
          <t>주거지역</t>
        </is>
      </c>
      <c r="O9" t="inlineStr">
        <is>
          <t>2023-06-01</t>
        </is>
      </c>
      <c r="P9" t="inlineStr">
        <is>
          <t>없음</t>
        </is>
      </c>
      <c r="Q9" t="inlineStr">
        <is>
          <t>담당3</t>
        </is>
      </c>
      <c r="R9" t="inlineStr">
        <is>
          <t>가상 데이터 / 실분포 반영 시연용</t>
        </is>
      </c>
    </row>
    <row r="10" ht="21" customHeight="1" s="26">
      <c r="A10" t="inlineStr">
        <is>
          <t>EXA-0009</t>
        </is>
      </c>
      <c r="B10" t="inlineStr">
        <is>
          <t>한빛외환서비스 009호</t>
        </is>
      </c>
      <c r="C10" t="inlineStr">
        <is>
          <t>신현우</t>
        </is>
      </c>
      <c r="D10" t="inlineStr">
        <is>
          <t>경기도</t>
        </is>
      </c>
      <c r="E10" t="inlineStr">
        <is>
          <t>안산시</t>
        </is>
      </c>
      <c r="F10" t="inlineStr">
        <is>
          <t>원곡동</t>
        </is>
      </c>
      <c r="G10" t="inlineStr">
        <is>
          <t>경기도 안산시 단원구 원곡동 원선로 53</t>
        </is>
      </c>
      <c r="J10" t="inlineStr">
        <is>
          <t>미검증</t>
        </is>
      </c>
      <c r="K10" t="inlineStr">
        <is>
          <t>2020-12-03</t>
        </is>
      </c>
      <c r="L10" t="inlineStr">
        <is>
          <t>영업중</t>
        </is>
      </c>
      <c r="M10" t="inlineStr">
        <is>
          <t>개인</t>
        </is>
      </c>
      <c r="N10" t="inlineStr">
        <is>
          <t>관광지 인접</t>
        </is>
      </c>
      <c r="O10" t="inlineStr">
        <is>
          <t>2024-10-15</t>
        </is>
      </c>
      <c r="P10" t="inlineStr">
        <is>
          <t>없음</t>
        </is>
      </c>
      <c r="Q10" t="inlineStr">
        <is>
          <t>담당3</t>
        </is>
      </c>
      <c r="R10" t="inlineStr">
        <is>
          <t>가상 데이터 / 실분포 반영 시연용</t>
        </is>
      </c>
    </row>
    <row r="11" ht="21" customHeight="1" s="26">
      <c r="A11" t="inlineStr">
        <is>
          <t>EXA-0010</t>
        </is>
      </c>
      <c r="B11" t="inlineStr">
        <is>
          <t>한울원익스체인지 010호</t>
        </is>
      </c>
      <c r="C11" t="inlineStr">
        <is>
          <t>최은현</t>
        </is>
      </c>
      <c r="D11" t="inlineStr">
        <is>
          <t>경기도</t>
        </is>
      </c>
      <c r="E11" t="inlineStr">
        <is>
          <t>시흥시</t>
        </is>
      </c>
      <c r="F11" t="inlineStr">
        <is>
          <t>정왕시장</t>
        </is>
      </c>
      <c r="G11" t="inlineStr">
        <is>
          <t>경기도 시흥시 정왕동 함송로 63</t>
        </is>
      </c>
      <c r="J11" t="inlineStr">
        <is>
          <t>미검증</t>
        </is>
      </c>
      <c r="K11" t="inlineStr">
        <is>
          <t>2024-06-17</t>
        </is>
      </c>
      <c r="L11" t="inlineStr">
        <is>
          <t>영업중</t>
        </is>
      </c>
      <c r="M11" t="inlineStr">
        <is>
          <t>법인</t>
        </is>
      </c>
      <c r="N11" t="inlineStr">
        <is>
          <t>주거지역</t>
        </is>
      </c>
      <c r="O11" t="inlineStr">
        <is>
          <t>2023-12-02</t>
        </is>
      </c>
      <c r="P11" t="inlineStr">
        <is>
          <t>없음</t>
        </is>
      </c>
      <c r="Q11" t="inlineStr">
        <is>
          <t>담당2</t>
        </is>
      </c>
      <c r="R11" t="inlineStr">
        <is>
          <t>가상 데이터 / 실분포 반영 시연용</t>
        </is>
      </c>
    </row>
    <row r="12" ht="21" customHeight="1" s="26">
      <c r="A12" t="inlineStr">
        <is>
          <t>EXA-0011</t>
        </is>
      </c>
      <c r="B12" t="inlineStr">
        <is>
          <t>삼일스타외환서비스 011호</t>
        </is>
      </c>
      <c r="C12" t="inlineStr">
        <is>
          <t>황서진</t>
        </is>
      </c>
      <c r="D12" t="inlineStr">
        <is>
          <t>경기도</t>
        </is>
      </c>
      <c r="E12" t="inlineStr">
        <is>
          <t>시흥시</t>
        </is>
      </c>
      <c r="F12" t="inlineStr">
        <is>
          <t>정왕시장</t>
        </is>
      </c>
      <c r="G12" t="inlineStr">
        <is>
          <t>경기도 시흥시 정왕동 옥구상가로 73-6</t>
        </is>
      </c>
      <c r="J12" t="inlineStr">
        <is>
          <t>미검증</t>
        </is>
      </c>
      <c r="K12" t="inlineStr">
        <is>
          <t>2019-10-29</t>
        </is>
      </c>
      <c r="L12" t="inlineStr">
        <is>
          <t>영업중</t>
        </is>
      </c>
      <c r="M12" t="inlineStr">
        <is>
          <t>개인</t>
        </is>
      </c>
      <c r="N12" t="inlineStr">
        <is>
          <t>관광지 인접</t>
        </is>
      </c>
      <c r="O12" t="inlineStr">
        <is>
          <t>2024-12-19</t>
        </is>
      </c>
      <c r="P12" t="inlineStr">
        <is>
          <t>없음</t>
        </is>
      </c>
      <c r="Q12" t="inlineStr">
        <is>
          <t>담당1</t>
        </is>
      </c>
      <c r="R12" t="inlineStr">
        <is>
          <t>가상 데이터 / 실분포 반영 시연용</t>
        </is>
      </c>
    </row>
    <row r="13" ht="21" customHeight="1" s="26">
      <c r="A13" t="inlineStr">
        <is>
          <t>EXA-0012</t>
        </is>
      </c>
      <c r="B13" t="inlineStr">
        <is>
          <t>동행익스체인지 012호</t>
        </is>
      </c>
      <c r="C13" t="inlineStr">
        <is>
          <t>류서현</t>
        </is>
      </c>
      <c r="D13" t="inlineStr">
        <is>
          <t>경기도</t>
        </is>
      </c>
      <c r="E13" t="inlineStr">
        <is>
          <t>안산시</t>
        </is>
      </c>
      <c r="F13" t="inlineStr">
        <is>
          <t>원곡동</t>
        </is>
      </c>
      <c r="G13" t="inlineStr">
        <is>
          <t>경기도 안산시 단원구 원곡동 화랑로 69</t>
        </is>
      </c>
      <c r="J13" t="inlineStr">
        <is>
          <t>미검증</t>
        </is>
      </c>
      <c r="K13" t="inlineStr">
        <is>
          <t>2020-07-21</t>
        </is>
      </c>
      <c r="L13" t="inlineStr">
        <is>
          <t>영업중</t>
        </is>
      </c>
      <c r="M13" t="inlineStr">
        <is>
          <t>법인</t>
        </is>
      </c>
      <c r="N13" t="inlineStr">
        <is>
          <t>일반</t>
        </is>
      </c>
      <c r="O13" t="inlineStr">
        <is>
          <t>2025-03-29</t>
        </is>
      </c>
      <c r="P13" t="inlineStr">
        <is>
          <t>없음</t>
        </is>
      </c>
      <c r="Q13" t="inlineStr">
        <is>
          <t>담당1</t>
        </is>
      </c>
      <c r="R13" t="inlineStr">
        <is>
          <t>가상 데이터 / 실분포 반영 시연용</t>
        </is>
      </c>
    </row>
    <row r="14" ht="21" customHeight="1" s="26">
      <c r="A14" t="inlineStr">
        <is>
          <t>EXA-0013</t>
        </is>
      </c>
      <c r="B14" t="inlineStr">
        <is>
          <t>스마트환전소 013호</t>
        </is>
      </c>
      <c r="C14" t="inlineStr">
        <is>
          <t>서은빈</t>
        </is>
      </c>
      <c r="D14" t="inlineStr">
        <is>
          <t>경기도</t>
        </is>
      </c>
      <c r="E14" t="inlineStr">
        <is>
          <t>안산시</t>
        </is>
      </c>
      <c r="F14" t="inlineStr">
        <is>
          <t>원곡동</t>
        </is>
      </c>
      <c r="G14" t="inlineStr">
        <is>
          <t>경기도 안산시 단원구 원곡동 백성길 79-6</t>
        </is>
      </c>
      <c r="J14" t="inlineStr">
        <is>
          <t>미검증</t>
        </is>
      </c>
      <c r="K14" t="inlineStr">
        <is>
          <t>2022-07-21</t>
        </is>
      </c>
      <c r="L14" t="inlineStr">
        <is>
          <t>폐업</t>
        </is>
      </c>
      <c r="M14" t="inlineStr">
        <is>
          <t>법인</t>
        </is>
      </c>
      <c r="N14" t="inlineStr">
        <is>
          <t>일반</t>
        </is>
      </c>
      <c r="O14" t="inlineStr">
        <is>
          <t>2026-05-10</t>
        </is>
      </c>
      <c r="P14" t="inlineStr">
        <is>
          <t>없음</t>
        </is>
      </c>
      <c r="Q14" t="inlineStr">
        <is>
          <t>담당4</t>
        </is>
      </c>
      <c r="R14" t="inlineStr">
        <is>
          <t>가상 데이터 / 실분포 반영 시연용</t>
        </is>
      </c>
    </row>
    <row r="15" ht="21" customHeight="1" s="26">
      <c r="A15" t="inlineStr">
        <is>
          <t>EXA-0014</t>
        </is>
      </c>
      <c r="B15" t="inlineStr">
        <is>
          <t>미래플러스환전 014호</t>
        </is>
      </c>
      <c r="C15" t="inlineStr">
        <is>
          <t>송도지</t>
        </is>
      </c>
      <c r="D15" t="inlineStr">
        <is>
          <t>경기도</t>
        </is>
      </c>
      <c r="E15" t="inlineStr">
        <is>
          <t>시흥시</t>
        </is>
      </c>
      <c r="F15" t="inlineStr">
        <is>
          <t>정왕시장</t>
        </is>
      </c>
      <c r="G15" t="inlineStr">
        <is>
          <t>경기도 시흥시 정왕동 군서로 89</t>
        </is>
      </c>
      <c r="J15" t="inlineStr">
        <is>
          <t>미검증</t>
        </is>
      </c>
      <c r="K15" t="inlineStr">
        <is>
          <t>2015-02-15</t>
        </is>
      </c>
      <c r="L15" t="inlineStr">
        <is>
          <t>영업중</t>
        </is>
      </c>
      <c r="M15" t="inlineStr">
        <is>
          <t>개인</t>
        </is>
      </c>
      <c r="N15" t="inlineStr">
        <is>
          <t>주거지역</t>
        </is>
      </c>
      <c r="O15" t="inlineStr">
        <is>
          <t>2025-04-10</t>
        </is>
      </c>
      <c r="P15" t="inlineStr">
        <is>
          <t>없음</t>
        </is>
      </c>
      <c r="Q15" t="inlineStr">
        <is>
          <t>담당2</t>
        </is>
      </c>
      <c r="R15" t="inlineStr">
        <is>
          <t>가상 데이터 / 실분포 반영 시연용</t>
        </is>
      </c>
    </row>
    <row r="16" ht="21" customHeight="1" s="26">
      <c r="A16" t="inlineStr">
        <is>
          <t>EXA-0015</t>
        </is>
      </c>
      <c r="B16" t="inlineStr">
        <is>
          <t>세명환전 015호</t>
        </is>
      </c>
      <c r="C16" t="inlineStr">
        <is>
          <t>박하호</t>
        </is>
      </c>
      <c r="D16" t="inlineStr">
        <is>
          <t>경기도</t>
        </is>
      </c>
      <c r="E16" t="inlineStr">
        <is>
          <t>부천시</t>
        </is>
      </c>
      <c r="F16" t="inlineStr">
        <is>
          <t>부천</t>
        </is>
      </c>
      <c r="G16" t="inlineStr">
        <is>
          <t>경기도 부천시 신흥로 78</t>
        </is>
      </c>
      <c r="J16" t="inlineStr">
        <is>
          <t>미검증</t>
        </is>
      </c>
      <c r="K16" t="inlineStr">
        <is>
          <t>2025-11-09</t>
        </is>
      </c>
      <c r="L16" t="inlineStr">
        <is>
          <t>영업중</t>
        </is>
      </c>
      <c r="M16" t="inlineStr">
        <is>
          <t>개인</t>
        </is>
      </c>
      <c r="N16" t="inlineStr">
        <is>
          <t>일반</t>
        </is>
      </c>
      <c r="O16" t="inlineStr">
        <is>
          <t>2025-01-12</t>
        </is>
      </c>
      <c r="P16" t="inlineStr">
        <is>
          <t>없음</t>
        </is>
      </c>
      <c r="Q16" t="inlineStr">
        <is>
          <t>담당3</t>
        </is>
      </c>
      <c r="R16" t="inlineStr">
        <is>
          <t>가상 데이터 / 실분포 반영 시연용</t>
        </is>
      </c>
    </row>
    <row r="17" ht="21" customHeight="1" s="26">
      <c r="A17" t="inlineStr">
        <is>
          <t>EXA-0016</t>
        </is>
      </c>
      <c r="B17" t="inlineStr">
        <is>
          <t>다정머니체인지 016호</t>
        </is>
      </c>
      <c r="C17" t="inlineStr">
        <is>
          <t>박현현</t>
        </is>
      </c>
      <c r="D17" t="inlineStr">
        <is>
          <t>경기도</t>
        </is>
      </c>
      <c r="E17" t="inlineStr">
        <is>
          <t>부천시</t>
        </is>
      </c>
      <c r="F17" t="inlineStr">
        <is>
          <t>부천</t>
        </is>
      </c>
      <c r="G17" t="inlineStr">
        <is>
          <t>경기도 부천시 부일로 88-6</t>
        </is>
      </c>
      <c r="J17" t="inlineStr">
        <is>
          <t>미검증</t>
        </is>
      </c>
      <c r="K17" t="inlineStr">
        <is>
          <t>2016-02-26</t>
        </is>
      </c>
      <c r="L17" t="inlineStr">
        <is>
          <t>영업중</t>
        </is>
      </c>
      <c r="M17" t="inlineStr">
        <is>
          <t>법인</t>
        </is>
      </c>
      <c r="N17" t="inlineStr">
        <is>
          <t>상업지역</t>
        </is>
      </c>
      <c r="O17" t="inlineStr">
        <is>
          <t>2023-08-28</t>
        </is>
      </c>
      <c r="P17" t="inlineStr">
        <is>
          <t>없음</t>
        </is>
      </c>
      <c r="Q17" t="inlineStr">
        <is>
          <t>담당3</t>
        </is>
      </c>
      <c r="R17" t="inlineStr">
        <is>
          <t>가상 데이터 / 실분포 반영 시연용</t>
        </is>
      </c>
    </row>
    <row r="18" ht="21" customHeight="1" s="26">
      <c r="A18" t="inlineStr">
        <is>
          <t>EXA-0017</t>
        </is>
      </c>
      <c r="B18" t="inlineStr">
        <is>
          <t>국제플러스환전 017호</t>
        </is>
      </c>
      <c r="C18" t="inlineStr">
        <is>
          <t>조서진</t>
        </is>
      </c>
      <c r="D18" t="inlineStr">
        <is>
          <t>경기도</t>
        </is>
      </c>
      <c r="E18" t="inlineStr">
        <is>
          <t>안산시</t>
        </is>
      </c>
      <c r="F18" t="inlineStr">
        <is>
          <t>원곡동</t>
        </is>
      </c>
      <c r="G18" t="inlineStr">
        <is>
          <t>경기도 안산시 단원구 원곡동 원초로 98</t>
        </is>
      </c>
      <c r="J18" t="inlineStr">
        <is>
          <t>미검증</t>
        </is>
      </c>
      <c r="K18" t="inlineStr">
        <is>
          <t>2021-10-01</t>
        </is>
      </c>
      <c r="L18" t="inlineStr">
        <is>
          <t>영업중</t>
        </is>
      </c>
      <c r="M18" t="inlineStr">
        <is>
          <t>개인</t>
        </is>
      </c>
      <c r="N18" t="inlineStr">
        <is>
          <t>관광지 인접</t>
        </is>
      </c>
      <c r="O18" t="inlineStr">
        <is>
          <t>2021-07-15</t>
        </is>
      </c>
      <c r="P18" t="inlineStr">
        <is>
          <t>경미</t>
        </is>
      </c>
      <c r="Q18" t="inlineStr">
        <is>
          <t>담당2</t>
        </is>
      </c>
      <c r="R18" t="inlineStr">
        <is>
          <t>가상 데이터 / 실분포 반영 시연용</t>
        </is>
      </c>
    </row>
    <row r="19" ht="21" customHeight="1" s="26">
      <c r="A19" t="inlineStr">
        <is>
          <t>EXA-0018</t>
        </is>
      </c>
      <c r="B19" t="inlineStr">
        <is>
          <t>세명스타외환서비스 018호</t>
        </is>
      </c>
      <c r="C19" t="inlineStr">
        <is>
          <t>윤지아</t>
        </is>
      </c>
      <c r="D19" t="inlineStr">
        <is>
          <t>경기도</t>
        </is>
      </c>
      <c r="E19" t="inlineStr">
        <is>
          <t>시흥시</t>
        </is>
      </c>
      <c r="F19" t="inlineStr">
        <is>
          <t>정왕시장</t>
        </is>
      </c>
      <c r="G19" t="inlineStr">
        <is>
          <t>경기도 시흥시 정왕동 정왕시장길 108</t>
        </is>
      </c>
      <c r="J19" t="inlineStr">
        <is>
          <t>미검증</t>
        </is>
      </c>
      <c r="K19" t="inlineStr">
        <is>
          <t>2019-02-18</t>
        </is>
      </c>
      <c r="L19" t="inlineStr">
        <is>
          <t>영업중</t>
        </is>
      </c>
      <c r="M19" t="inlineStr">
        <is>
          <t>일반</t>
        </is>
      </c>
      <c r="N19" t="inlineStr">
        <is>
          <t>관광지 인접</t>
        </is>
      </c>
      <c r="O19" t="inlineStr">
        <is>
          <t>2021-01-07</t>
        </is>
      </c>
      <c r="P19" t="inlineStr">
        <is>
          <t>없음</t>
        </is>
      </c>
      <c r="Q19" t="inlineStr">
        <is>
          <t>담당2</t>
        </is>
      </c>
      <c r="R19" t="inlineStr">
        <is>
          <t>가상 데이터 / 실분포 반영 시연용</t>
        </is>
      </c>
    </row>
    <row r="20" ht="21" customHeight="1" s="26">
      <c r="A20" t="inlineStr">
        <is>
          <t>EXA-0019</t>
        </is>
      </c>
      <c r="B20" t="inlineStr">
        <is>
          <t>평화플러스환전소 019호</t>
        </is>
      </c>
      <c r="C20" t="inlineStr">
        <is>
          <t>한지호</t>
        </is>
      </c>
      <c r="D20" t="inlineStr">
        <is>
          <t>경기도</t>
        </is>
      </c>
      <c r="E20" t="inlineStr">
        <is>
          <t>안산시</t>
        </is>
      </c>
      <c r="F20" t="inlineStr">
        <is>
          <t>원곡동</t>
        </is>
      </c>
      <c r="G20" t="inlineStr">
        <is>
          <t>경기도 안산시 단원구 원곡동 다문화길 111</t>
        </is>
      </c>
      <c r="J20" t="inlineStr">
        <is>
          <t>미검증</t>
        </is>
      </c>
      <c r="K20" t="inlineStr">
        <is>
          <t>2025-03-22</t>
        </is>
      </c>
      <c r="L20" t="inlineStr">
        <is>
          <t>영업중</t>
        </is>
      </c>
      <c r="M20" t="inlineStr">
        <is>
          <t>법인</t>
        </is>
      </c>
      <c r="N20" t="inlineStr">
        <is>
          <t>상업지역</t>
        </is>
      </c>
      <c r="O20" t="inlineStr">
        <is>
          <t>2022-02-26</t>
        </is>
      </c>
      <c r="P20" t="inlineStr">
        <is>
          <t>없음</t>
        </is>
      </c>
      <c r="Q20" t="inlineStr">
        <is>
          <t>담당4</t>
        </is>
      </c>
      <c r="R20" t="inlineStr">
        <is>
          <t>가상 데이터 / 실분포 반영 시연용</t>
        </is>
      </c>
    </row>
    <row r="21" ht="21" customHeight="1" s="26">
      <c r="A21" t="inlineStr">
        <is>
          <t>EXA-0020</t>
        </is>
      </c>
      <c r="B21" t="inlineStr">
        <is>
          <t>한울프라임익스체인지 020호</t>
        </is>
      </c>
      <c r="C21" t="inlineStr">
        <is>
          <t>홍하진</t>
        </is>
      </c>
      <c r="D21" t="inlineStr">
        <is>
          <t>경기도</t>
        </is>
      </c>
      <c r="E21" t="inlineStr">
        <is>
          <t>김포시</t>
        </is>
      </c>
      <c r="F21" t="inlineStr">
        <is>
          <t>김포</t>
        </is>
      </c>
      <c r="G21" t="inlineStr">
        <is>
          <t>경기도 김포시 김포한강9로 72</t>
        </is>
      </c>
      <c r="J21" t="inlineStr">
        <is>
          <t>미검증</t>
        </is>
      </c>
      <c r="K21" t="inlineStr">
        <is>
          <t>2023-10-27</t>
        </is>
      </c>
      <c r="L21" t="inlineStr">
        <is>
          <t>영업중</t>
        </is>
      </c>
      <c r="M21" t="inlineStr">
        <is>
          <t>일반</t>
        </is>
      </c>
      <c r="N21" t="inlineStr">
        <is>
          <t>일반</t>
        </is>
      </c>
      <c r="O21" t="inlineStr">
        <is>
          <t>2025-05-23</t>
        </is>
      </c>
      <c r="P21" t="inlineStr">
        <is>
          <t>없음</t>
        </is>
      </c>
      <c r="Q21" t="inlineStr">
        <is>
          <t>담당3</t>
        </is>
      </c>
      <c r="R21" t="inlineStr">
        <is>
          <t>가상 데이터 / 실분포 반영 시연용</t>
        </is>
      </c>
    </row>
    <row r="22" ht="21" customHeight="1" s="26">
      <c r="A22" t="inlineStr">
        <is>
          <t>EXA-0021</t>
        </is>
      </c>
      <c r="B22" t="inlineStr">
        <is>
          <t>이음스타환전 021호</t>
        </is>
      </c>
      <c r="C22" t="inlineStr">
        <is>
          <t>안현빈</t>
        </is>
      </c>
      <c r="D22" t="inlineStr">
        <is>
          <t>경기도</t>
        </is>
      </c>
      <c r="E22" t="inlineStr">
        <is>
          <t>안산시</t>
        </is>
      </c>
      <c r="F22" t="inlineStr">
        <is>
          <t>원곡동</t>
        </is>
      </c>
      <c r="G22" t="inlineStr">
        <is>
          <t>경기도 안산시 단원구 원곡동 원곡로 124</t>
        </is>
      </c>
      <c r="J22" t="inlineStr">
        <is>
          <t>미검증</t>
        </is>
      </c>
      <c r="K22" t="inlineStr">
        <is>
          <t>2014-11-07</t>
        </is>
      </c>
      <c r="L22" t="inlineStr">
        <is>
          <t>폐업</t>
        </is>
      </c>
      <c r="M22" t="inlineStr">
        <is>
          <t>개인</t>
        </is>
      </c>
      <c r="N22" t="inlineStr">
        <is>
          <t>관광지 인접</t>
        </is>
      </c>
      <c r="O22" t="inlineStr">
        <is>
          <t>2022-10-12</t>
        </is>
      </c>
      <c r="P22" t="inlineStr">
        <is>
          <t>경미</t>
        </is>
      </c>
      <c r="Q22" t="inlineStr">
        <is>
          <t>담당3</t>
        </is>
      </c>
      <c r="R22" t="inlineStr">
        <is>
          <t>가상 데이터 / 실분포 반영 시연용</t>
        </is>
      </c>
    </row>
    <row r="23" ht="21" customHeight="1" s="26">
      <c r="A23" t="inlineStr">
        <is>
          <t>EXA-0022</t>
        </is>
      </c>
      <c r="B23" t="inlineStr">
        <is>
          <t>오션플러스환전 022호</t>
        </is>
      </c>
      <c r="C23" t="inlineStr">
        <is>
          <t>오수아</t>
        </is>
      </c>
      <c r="D23" t="inlineStr">
        <is>
          <t>경기도</t>
        </is>
      </c>
      <c r="E23" t="inlineStr">
        <is>
          <t>안산시</t>
        </is>
      </c>
      <c r="F23" t="inlineStr">
        <is>
          <t>원곡동</t>
        </is>
      </c>
      <c r="G23" t="inlineStr">
        <is>
          <t>경기도 안산시 단원구 원곡동 원선로 134</t>
        </is>
      </c>
      <c r="J23" t="inlineStr">
        <is>
          <t>미검증</t>
        </is>
      </c>
      <c r="K23" t="inlineStr">
        <is>
          <t>2022-11-09</t>
        </is>
      </c>
      <c r="L23" t="inlineStr">
        <is>
          <t>영업중</t>
        </is>
      </c>
      <c r="M23" t="inlineStr">
        <is>
          <t>개인</t>
        </is>
      </c>
      <c r="N23" t="inlineStr">
        <is>
          <t>관광지 인접</t>
        </is>
      </c>
      <c r="O23" t="inlineStr">
        <is>
          <t>2023-03-03</t>
        </is>
      </c>
      <c r="P23" t="inlineStr">
        <is>
          <t>없음</t>
        </is>
      </c>
      <c r="Q23" t="inlineStr">
        <is>
          <t>담당3</t>
        </is>
      </c>
      <c r="R23" t="inlineStr">
        <is>
          <t>가상 데이터 / 실분포 반영 시연용</t>
        </is>
      </c>
    </row>
    <row r="24" ht="21" customHeight="1" s="26">
      <c r="A24" t="inlineStr">
        <is>
          <t>EXA-0023</t>
        </is>
      </c>
      <c r="B24" t="inlineStr">
        <is>
          <t>대한프라임익스체인지 023호</t>
        </is>
      </c>
      <c r="C24" t="inlineStr">
        <is>
          <t>조영빈</t>
        </is>
      </c>
      <c r="D24" t="inlineStr">
        <is>
          <t>경기도</t>
        </is>
      </c>
      <c r="E24" t="inlineStr">
        <is>
          <t>시흥시</t>
        </is>
      </c>
      <c r="F24" t="inlineStr">
        <is>
          <t>정왕시장</t>
        </is>
      </c>
      <c r="G24" t="inlineStr">
        <is>
          <t>경기도 시흥시 정왕동 중심상가로 130</t>
        </is>
      </c>
      <c r="J24" t="inlineStr">
        <is>
          <t>미검증</t>
        </is>
      </c>
      <c r="K24" t="inlineStr">
        <is>
          <t>2016-09-23</t>
        </is>
      </c>
      <c r="L24" t="inlineStr">
        <is>
          <t>영업중</t>
        </is>
      </c>
      <c r="M24" t="inlineStr">
        <is>
          <t>개인</t>
        </is>
      </c>
      <c r="N24" t="inlineStr">
        <is>
          <t>상업지역</t>
        </is>
      </c>
      <c r="O24" t="inlineStr">
        <is>
          <t>2024-10-24</t>
        </is>
      </c>
      <c r="P24" t="inlineStr">
        <is>
          <t>경미</t>
        </is>
      </c>
      <c r="Q24" t="inlineStr">
        <is>
          <t>담당3</t>
        </is>
      </c>
      <c r="R24" t="inlineStr">
        <is>
          <t>가상 데이터 / 실분포 반영 시연용</t>
        </is>
      </c>
    </row>
    <row r="25" ht="21" customHeight="1" s="26">
      <c r="A25" t="inlineStr">
        <is>
          <t>EXA-0024</t>
        </is>
      </c>
      <c r="B25" t="inlineStr">
        <is>
          <t>미래스타환전 024호</t>
        </is>
      </c>
      <c r="C25" t="inlineStr">
        <is>
          <t>홍서준</t>
        </is>
      </c>
      <c r="D25" t="inlineStr">
        <is>
          <t>경기도</t>
        </is>
      </c>
      <c r="E25" t="inlineStr">
        <is>
          <t>시흥시</t>
        </is>
      </c>
      <c r="F25" t="inlineStr">
        <is>
          <t>정왕시장</t>
        </is>
      </c>
      <c r="G25" t="inlineStr">
        <is>
          <t>경기도 시흥시 정왕동 정왕대로 140</t>
        </is>
      </c>
      <c r="J25" t="inlineStr">
        <is>
          <t>미검증</t>
        </is>
      </c>
      <c r="K25" t="inlineStr">
        <is>
          <t>2018-07-18</t>
        </is>
      </c>
      <c r="L25" t="inlineStr">
        <is>
          <t>영업중</t>
        </is>
      </c>
      <c r="M25" t="inlineStr">
        <is>
          <t>일반</t>
        </is>
      </c>
      <c r="N25" t="inlineStr">
        <is>
          <t>주거지역</t>
        </is>
      </c>
      <c r="O25" t="inlineStr">
        <is>
          <t>2026-05-21</t>
        </is>
      </c>
      <c r="P25" t="inlineStr">
        <is>
          <t>없음</t>
        </is>
      </c>
      <c r="Q25" t="inlineStr">
        <is>
          <t>담당4</t>
        </is>
      </c>
      <c r="R25" t="inlineStr">
        <is>
          <t>가상 데이터 / 실분포 반영 시연용</t>
        </is>
      </c>
    </row>
    <row r="26" ht="21" customHeight="1" s="26">
      <c r="A26" t="inlineStr">
        <is>
          <t>EXA-0025</t>
        </is>
      </c>
      <c r="B26" t="inlineStr">
        <is>
          <t>오션플러스익스체인지 025호</t>
        </is>
      </c>
      <c r="C26" t="inlineStr">
        <is>
          <t>최은우</t>
        </is>
      </c>
      <c r="D26" t="inlineStr">
        <is>
          <t>경기도</t>
        </is>
      </c>
      <c r="E26" t="inlineStr">
        <is>
          <t>시흥시</t>
        </is>
      </c>
      <c r="F26" t="inlineStr">
        <is>
          <t>정왕시장</t>
        </is>
      </c>
      <c r="G26" t="inlineStr">
        <is>
          <t>경기도 시흥시 정왕동 함송로 8-4</t>
        </is>
      </c>
      <c r="J26" t="inlineStr">
        <is>
          <t>미검증</t>
        </is>
      </c>
      <c r="K26" t="inlineStr">
        <is>
          <t>2019-01-14</t>
        </is>
      </c>
      <c r="L26" t="inlineStr">
        <is>
          <t>영업중</t>
        </is>
      </c>
      <c r="M26" t="inlineStr">
        <is>
          <t>개인</t>
        </is>
      </c>
      <c r="N26" t="inlineStr">
        <is>
          <t>상업지역</t>
        </is>
      </c>
      <c r="O26" t="inlineStr">
        <is>
          <t>2021-08-16</t>
        </is>
      </c>
      <c r="P26" t="inlineStr">
        <is>
          <t>중대</t>
        </is>
      </c>
      <c r="Q26" t="inlineStr">
        <is>
          <t>담당3</t>
        </is>
      </c>
      <c r="R26" t="inlineStr">
        <is>
          <t>가상 데이터 / 실분포 반영 시연용</t>
        </is>
      </c>
    </row>
    <row r="27" ht="21" customHeight="1" s="26">
      <c r="A27" t="inlineStr">
        <is>
          <t>EXA-0026</t>
        </is>
      </c>
      <c r="B27" t="inlineStr">
        <is>
          <t>한울프라임머니체인지 026호</t>
        </is>
      </c>
      <c r="C27" t="inlineStr">
        <is>
          <t>안지우</t>
        </is>
      </c>
      <c r="D27" t="inlineStr">
        <is>
          <t>경기도</t>
        </is>
      </c>
      <c r="E27" t="inlineStr">
        <is>
          <t>부천시</t>
        </is>
      </c>
      <c r="F27" t="inlineStr">
        <is>
          <t>부천</t>
        </is>
      </c>
      <c r="G27" t="inlineStr">
        <is>
          <t>경기도 부천시 석천로 125</t>
        </is>
      </c>
      <c r="J27" t="inlineStr">
        <is>
          <t>미검증</t>
        </is>
      </c>
      <c r="K27" t="inlineStr">
        <is>
          <t>2014-10-19</t>
        </is>
      </c>
      <c r="L27" t="inlineStr">
        <is>
          <t>영업중</t>
        </is>
      </c>
      <c r="M27" t="inlineStr">
        <is>
          <t>법인</t>
        </is>
      </c>
      <c r="N27" t="inlineStr">
        <is>
          <t>일반</t>
        </is>
      </c>
      <c r="O27" t="inlineStr">
        <is>
          <t>2026-08-20</t>
        </is>
      </c>
      <c r="P27" t="inlineStr">
        <is>
          <t>없음</t>
        </is>
      </c>
      <c r="Q27" t="inlineStr">
        <is>
          <t>담당2</t>
        </is>
      </c>
      <c r="R27" t="inlineStr">
        <is>
          <t>가상 데이터 / 실분포 반영 시연용</t>
        </is>
      </c>
    </row>
    <row r="28" ht="21" customHeight="1" s="26">
      <c r="A28" t="inlineStr">
        <is>
          <t>EXA-0027</t>
        </is>
      </c>
      <c r="B28" t="inlineStr">
        <is>
          <t>대한원환전소 027호</t>
        </is>
      </c>
      <c r="C28" t="inlineStr">
        <is>
          <t>정민현</t>
        </is>
      </c>
      <c r="D28" t="inlineStr">
        <is>
          <t>경기도</t>
        </is>
      </c>
      <c r="E28" t="inlineStr">
        <is>
          <t>부천시</t>
        </is>
      </c>
      <c r="F28" t="inlineStr">
        <is>
          <t>부천</t>
        </is>
      </c>
      <c r="G28" t="inlineStr">
        <is>
          <t>경기도 부천시 상동로 135</t>
        </is>
      </c>
      <c r="J28" t="inlineStr">
        <is>
          <t>미검증</t>
        </is>
      </c>
      <c r="K28" t="inlineStr">
        <is>
          <t>2013-11-22</t>
        </is>
      </c>
      <c r="L28" t="inlineStr">
        <is>
          <t>영업중</t>
        </is>
      </c>
      <c r="M28" t="inlineStr">
        <is>
          <t>개인</t>
        </is>
      </c>
      <c r="N28" t="inlineStr">
        <is>
          <t>주거지역</t>
        </is>
      </c>
      <c r="O28" t="inlineStr">
        <is>
          <t>2023-02-10</t>
        </is>
      </c>
      <c r="P28" t="inlineStr">
        <is>
          <t>경미</t>
        </is>
      </c>
      <c r="Q28" t="inlineStr">
        <is>
          <t>담당1</t>
        </is>
      </c>
      <c r="R28" t="inlineStr">
        <is>
          <t>가상 데이터 / 실분포 반영 시연용</t>
        </is>
      </c>
    </row>
    <row r="29" ht="21" customHeight="1" s="26">
      <c r="A29" t="inlineStr">
        <is>
          <t>EXA-0028</t>
        </is>
      </c>
      <c r="B29" t="inlineStr">
        <is>
          <t>상록플러스환전소 028호</t>
        </is>
      </c>
      <c r="C29" t="inlineStr">
        <is>
          <t>황수석</t>
        </is>
      </c>
      <c r="D29" t="inlineStr">
        <is>
          <t>경기도</t>
        </is>
      </c>
      <c r="E29" t="inlineStr">
        <is>
          <t>안산시</t>
        </is>
      </c>
      <c r="F29" t="inlineStr">
        <is>
          <t>원곡동</t>
        </is>
      </c>
      <c r="G29" t="inlineStr">
        <is>
          <t>경기도 안산시 단원구 원곡동 화랑로 17-4</t>
        </is>
      </c>
      <c r="J29" t="inlineStr">
        <is>
          <t>미검증</t>
        </is>
      </c>
      <c r="K29" t="inlineStr">
        <is>
          <t>2013-04-10</t>
        </is>
      </c>
      <c r="L29" t="inlineStr">
        <is>
          <t>영업중</t>
        </is>
      </c>
      <c r="M29" t="inlineStr">
        <is>
          <t>법인</t>
        </is>
      </c>
      <c r="N29" t="inlineStr">
        <is>
          <t>주거지역</t>
        </is>
      </c>
      <c r="O29" t="inlineStr">
        <is>
          <t>2024-01-30</t>
        </is>
      </c>
      <c r="P29" t="inlineStr">
        <is>
          <t>없음</t>
        </is>
      </c>
      <c r="Q29" t="inlineStr">
        <is>
          <t>담당4</t>
        </is>
      </c>
      <c r="R29" t="inlineStr">
        <is>
          <t>가상 데이터 / 실분포 반영 시연용</t>
        </is>
      </c>
    </row>
    <row r="30" ht="21" customHeight="1" s="26">
      <c r="A30" t="inlineStr">
        <is>
          <t>EXA-0029</t>
        </is>
      </c>
      <c r="B30" t="inlineStr">
        <is>
          <t>다온환전 029호</t>
        </is>
      </c>
      <c r="C30" t="inlineStr">
        <is>
          <t>송은준</t>
        </is>
      </c>
      <c r="D30" t="inlineStr">
        <is>
          <t>경기도</t>
        </is>
      </c>
      <c r="E30" t="inlineStr">
        <is>
          <t>부천시</t>
        </is>
      </c>
      <c r="F30" t="inlineStr">
        <is>
          <t>부천</t>
        </is>
      </c>
      <c r="G30" t="inlineStr">
        <is>
          <t>경기도 부천시 부천로 148</t>
        </is>
      </c>
      <c r="J30" t="inlineStr">
        <is>
          <t>미검증</t>
        </is>
      </c>
      <c r="K30" t="inlineStr">
        <is>
          <t>2016-11-21</t>
        </is>
      </c>
      <c r="L30" t="inlineStr">
        <is>
          <t>영업중</t>
        </is>
      </c>
      <c r="M30" t="inlineStr">
        <is>
          <t>개인</t>
        </is>
      </c>
      <c r="N30" t="inlineStr">
        <is>
          <t>관광지 인접</t>
        </is>
      </c>
      <c r="O30" t="inlineStr">
        <is>
          <t>2021-08-19</t>
        </is>
      </c>
      <c r="P30" t="inlineStr">
        <is>
          <t>없음</t>
        </is>
      </c>
      <c r="Q30" t="inlineStr">
        <is>
          <t>담당1</t>
        </is>
      </c>
      <c r="R30" t="inlineStr">
        <is>
          <t>가상 데이터 / 실분포 반영 시연용</t>
        </is>
      </c>
    </row>
    <row r="31" ht="21" customHeight="1" s="26">
      <c r="A31" t="inlineStr">
        <is>
          <t>EXA-0030</t>
        </is>
      </c>
      <c r="B31" t="inlineStr">
        <is>
          <t>대한플러스머니체인지 030호</t>
        </is>
      </c>
      <c r="C31" t="inlineStr">
        <is>
          <t>최민아</t>
        </is>
      </c>
      <c r="D31" t="inlineStr">
        <is>
          <t>경기도</t>
        </is>
      </c>
      <c r="E31" t="inlineStr">
        <is>
          <t>안산시</t>
        </is>
      </c>
      <c r="F31" t="inlineStr">
        <is>
          <t>원곡동</t>
        </is>
      </c>
      <c r="G31" t="inlineStr">
        <is>
          <t>경기도 안산시 단원구 원곡동 백성길 30</t>
        </is>
      </c>
      <c r="J31" t="inlineStr">
        <is>
          <t>미검증</t>
        </is>
      </c>
      <c r="K31" t="inlineStr">
        <is>
          <t>2022-12-29</t>
        </is>
      </c>
      <c r="L31" t="inlineStr">
        <is>
          <t>영업중</t>
        </is>
      </c>
      <c r="M31" t="inlineStr">
        <is>
          <t>법인</t>
        </is>
      </c>
      <c r="N31" t="inlineStr">
        <is>
          <t>관광지 인접</t>
        </is>
      </c>
      <c r="O31" t="inlineStr">
        <is>
          <t>2022-09-26</t>
        </is>
      </c>
      <c r="P31" t="inlineStr">
        <is>
          <t>없음</t>
        </is>
      </c>
      <c r="Q31" t="inlineStr">
        <is>
          <t>담당4</t>
        </is>
      </c>
      <c r="R31" t="inlineStr">
        <is>
          <t>가상 데이터 / 실분포 반영 시연용</t>
        </is>
      </c>
    </row>
    <row r="32" ht="21" customHeight="1" s="26">
      <c r="A32" t="inlineStr">
        <is>
          <t>EXA-0031</t>
        </is>
      </c>
      <c r="B32" t="inlineStr">
        <is>
          <t>다온프라임환전 031호</t>
        </is>
      </c>
      <c r="C32" t="inlineStr">
        <is>
          <t>송도석</t>
        </is>
      </c>
      <c r="D32" t="inlineStr">
        <is>
          <t>경기도</t>
        </is>
      </c>
      <c r="E32" t="inlineStr">
        <is>
          <t>안산시</t>
        </is>
      </c>
      <c r="F32" t="inlineStr">
        <is>
          <t>원곡동</t>
        </is>
      </c>
      <c r="G32" t="inlineStr">
        <is>
          <t>경기도 안산시 단원구 원곡동 원초로 40</t>
        </is>
      </c>
      <c r="J32" t="inlineStr">
        <is>
          <t>미검증</t>
        </is>
      </c>
      <c r="K32" t="inlineStr">
        <is>
          <t>2012-01-04</t>
        </is>
      </c>
      <c r="L32" t="inlineStr">
        <is>
          <t>영업중</t>
        </is>
      </c>
      <c r="M32" t="inlineStr">
        <is>
          <t>개인</t>
        </is>
      </c>
      <c r="N32" t="inlineStr">
        <is>
          <t>상업지역</t>
        </is>
      </c>
      <c r="O32" t="inlineStr">
        <is>
          <t>2025-01-06</t>
        </is>
      </c>
      <c r="P32" t="inlineStr">
        <is>
          <t>중대</t>
        </is>
      </c>
      <c r="Q32" t="inlineStr">
        <is>
          <t>담당3</t>
        </is>
      </c>
      <c r="R32" t="inlineStr">
        <is>
          <t>가상 데이터 / 실분포 반영 시연용</t>
        </is>
      </c>
    </row>
    <row r="33" ht="21" customHeight="1" s="26">
      <c r="A33" t="inlineStr">
        <is>
          <t>EXA-0032</t>
        </is>
      </c>
      <c r="B33" t="inlineStr">
        <is>
          <t>푸른프라임환전 032호</t>
        </is>
      </c>
      <c r="C33" t="inlineStr">
        <is>
          <t>강우희</t>
        </is>
      </c>
      <c r="D33" t="inlineStr">
        <is>
          <t>경기도</t>
        </is>
      </c>
      <c r="E33" t="inlineStr">
        <is>
          <t>안산시</t>
        </is>
      </c>
      <c r="F33" t="inlineStr">
        <is>
          <t>원곡동</t>
        </is>
      </c>
      <c r="G33" t="inlineStr">
        <is>
          <t>경기도 안산시 단원구 원곡동 다문화길 50</t>
        </is>
      </c>
      <c r="J33" t="inlineStr">
        <is>
          <t>미검증</t>
        </is>
      </c>
      <c r="K33" t="inlineStr">
        <is>
          <t>2021-07-01</t>
        </is>
      </c>
      <c r="L33" t="inlineStr">
        <is>
          <t>영업중</t>
        </is>
      </c>
      <c r="M33" t="inlineStr">
        <is>
          <t>개인</t>
        </is>
      </c>
      <c r="N33" t="inlineStr">
        <is>
          <t>상업지역</t>
        </is>
      </c>
      <c r="O33" t="inlineStr">
        <is>
          <t>2023-05-18</t>
        </is>
      </c>
      <c r="P33" t="inlineStr">
        <is>
          <t>경미</t>
        </is>
      </c>
      <c r="Q33" t="inlineStr">
        <is>
          <t>담당1</t>
        </is>
      </c>
      <c r="R33" t="inlineStr">
        <is>
          <t>가상 데이터 / 실분포 반영 시연용</t>
        </is>
      </c>
    </row>
    <row r="34" ht="21" customHeight="1" s="26">
      <c r="A34" t="inlineStr">
        <is>
          <t>EXA-0033</t>
        </is>
      </c>
      <c r="B34" t="inlineStr">
        <is>
          <t>푸른환전소 033호</t>
        </is>
      </c>
      <c r="C34" t="inlineStr">
        <is>
          <t>류민석</t>
        </is>
      </c>
      <c r="D34" t="inlineStr">
        <is>
          <t>인천광역시</t>
        </is>
      </c>
      <c r="E34" t="inlineStr">
        <is>
          <t>계양구</t>
        </is>
      </c>
      <c r="F34" t="inlineStr">
        <is>
          <t>계양</t>
        </is>
      </c>
      <c r="G34" t="inlineStr">
        <is>
          <t>인천광역시 계양구 계양대로 111</t>
        </is>
      </c>
      <c r="J34" t="inlineStr">
        <is>
          <t>미검증</t>
        </is>
      </c>
      <c r="K34" t="inlineStr">
        <is>
          <t>2016-11-11</t>
        </is>
      </c>
      <c r="L34" t="inlineStr">
        <is>
          <t>영업중</t>
        </is>
      </c>
      <c r="M34" t="inlineStr">
        <is>
          <t>개인</t>
        </is>
      </c>
      <c r="N34" t="inlineStr">
        <is>
          <t>상업지역</t>
        </is>
      </c>
      <c r="O34" t="inlineStr">
        <is>
          <t>2023-09-12</t>
        </is>
      </c>
      <c r="P34" t="inlineStr">
        <is>
          <t>경미</t>
        </is>
      </c>
      <c r="Q34" t="inlineStr">
        <is>
          <t>담당3</t>
        </is>
      </c>
      <c r="R34" t="inlineStr">
        <is>
          <t>가상 데이터 / 실분포 반영 시연용</t>
        </is>
      </c>
    </row>
    <row r="35" ht="21" customHeight="1" s="26">
      <c r="A35" t="inlineStr">
        <is>
          <t>EXA-0034</t>
        </is>
      </c>
      <c r="B35" t="inlineStr">
        <is>
          <t>이음원익스체인지 034호</t>
        </is>
      </c>
      <c r="C35" t="inlineStr">
        <is>
          <t>이수아</t>
        </is>
      </c>
      <c r="D35" t="inlineStr">
        <is>
          <t>경기도</t>
        </is>
      </c>
      <c r="E35" t="inlineStr">
        <is>
          <t>부천시</t>
        </is>
      </c>
      <c r="F35" t="inlineStr">
        <is>
          <t>부천</t>
        </is>
      </c>
      <c r="G35" t="inlineStr">
        <is>
          <t>경기도 부천시 중동로 28</t>
        </is>
      </c>
      <c r="J35" t="inlineStr">
        <is>
          <t>미검증</t>
        </is>
      </c>
      <c r="K35" t="inlineStr">
        <is>
          <t>2012-07-26</t>
        </is>
      </c>
      <c r="L35" t="inlineStr">
        <is>
          <t>영업중</t>
        </is>
      </c>
      <c r="M35" t="inlineStr">
        <is>
          <t>법인</t>
        </is>
      </c>
      <c r="N35" t="inlineStr">
        <is>
          <t>일반</t>
        </is>
      </c>
      <c r="O35" t="inlineStr">
        <is>
          <t>2021-06-29</t>
        </is>
      </c>
      <c r="P35" t="inlineStr">
        <is>
          <t>없음</t>
        </is>
      </c>
      <c r="Q35" t="inlineStr">
        <is>
          <t>담당2</t>
        </is>
      </c>
      <c r="R35" t="inlineStr">
        <is>
          <t>가상 데이터 / 실분포 반영 시연용</t>
        </is>
      </c>
    </row>
    <row r="36" ht="21" customHeight="1" s="26">
      <c r="A36" t="inlineStr">
        <is>
          <t>EXA-0035</t>
        </is>
      </c>
      <c r="B36" t="inlineStr">
        <is>
          <t>한마음스타머니체인지 035호</t>
        </is>
      </c>
      <c r="C36" t="inlineStr">
        <is>
          <t>임지호</t>
        </is>
      </c>
      <c r="D36" t="inlineStr">
        <is>
          <t>인천광역시</t>
        </is>
      </c>
      <c r="E36" t="inlineStr">
        <is>
          <t>부평구</t>
        </is>
      </c>
      <c r="F36" t="inlineStr">
        <is>
          <t>부평</t>
        </is>
      </c>
      <c r="G36" t="inlineStr">
        <is>
          <t>인천광역시 부평구 부평대로 117</t>
        </is>
      </c>
      <c r="J36" t="inlineStr">
        <is>
          <t>미검증</t>
        </is>
      </c>
      <c r="K36" t="inlineStr">
        <is>
          <t>2021-01-25</t>
        </is>
      </c>
      <c r="L36" t="inlineStr">
        <is>
          <t>영업중</t>
        </is>
      </c>
      <c r="M36" t="inlineStr">
        <is>
          <t>개인</t>
        </is>
      </c>
      <c r="N36" t="inlineStr">
        <is>
          <t>일반</t>
        </is>
      </c>
      <c r="O36" t="inlineStr">
        <is>
          <t>2022-01-04</t>
        </is>
      </c>
      <c r="P36" t="inlineStr">
        <is>
          <t>없음</t>
        </is>
      </c>
      <c r="Q36" t="inlineStr">
        <is>
          <t>담당4</t>
        </is>
      </c>
      <c r="R36" t="inlineStr">
        <is>
          <t>가상 데이터 / 실분포 반영 시연용</t>
        </is>
      </c>
    </row>
    <row r="37" ht="21" customHeight="1" s="26">
      <c r="A37" t="inlineStr">
        <is>
          <t>EXA-0036</t>
        </is>
      </c>
      <c r="B37" t="inlineStr">
        <is>
          <t>다정스타머니체인지 036호</t>
        </is>
      </c>
      <c r="C37" t="inlineStr">
        <is>
          <t>한지우</t>
        </is>
      </c>
      <c r="D37" t="inlineStr">
        <is>
          <t>경기도</t>
        </is>
      </c>
      <c r="E37" t="inlineStr">
        <is>
          <t>시흥시</t>
        </is>
      </c>
      <c r="F37" t="inlineStr">
        <is>
          <t>정왕시장</t>
        </is>
      </c>
      <c r="G37" t="inlineStr">
        <is>
          <t>경기도 시흥시 정왕동 옥구상가로 48</t>
        </is>
      </c>
      <c r="J37" t="inlineStr">
        <is>
          <t>미검증</t>
        </is>
      </c>
      <c r="K37" t="inlineStr">
        <is>
          <t>2022-09-19</t>
        </is>
      </c>
      <c r="L37" t="inlineStr">
        <is>
          <t>영업중</t>
        </is>
      </c>
      <c r="M37" t="inlineStr">
        <is>
          <t>법인</t>
        </is>
      </c>
      <c r="N37" t="inlineStr">
        <is>
          <t>상업지역</t>
        </is>
      </c>
      <c r="O37" t="inlineStr">
        <is>
          <t>2021-10-15</t>
        </is>
      </c>
      <c r="P37" t="inlineStr">
        <is>
          <t>없음</t>
        </is>
      </c>
      <c r="Q37" t="inlineStr">
        <is>
          <t>담당3</t>
        </is>
      </c>
      <c r="R37" t="inlineStr">
        <is>
          <t>가상 데이터 / 실분포 반영 시연용</t>
        </is>
      </c>
    </row>
    <row r="38" ht="21" customHeight="1" s="26">
      <c r="A38" t="inlineStr">
        <is>
          <t>EXA-0037</t>
        </is>
      </c>
      <c r="B38" t="inlineStr">
        <is>
          <t>이음환전소 037호</t>
        </is>
      </c>
      <c r="C38" t="inlineStr">
        <is>
          <t>송준현</t>
        </is>
      </c>
      <c r="D38" t="inlineStr">
        <is>
          <t>인천광역시</t>
        </is>
      </c>
      <c r="E38" t="inlineStr">
        <is>
          <t>부평구</t>
        </is>
      </c>
      <c r="F38" t="inlineStr">
        <is>
          <t>부평</t>
        </is>
      </c>
      <c r="G38" t="inlineStr">
        <is>
          <t>인천광역시 부평구 경원대로 130</t>
        </is>
      </c>
      <c r="J38" t="inlineStr">
        <is>
          <t>미검증</t>
        </is>
      </c>
      <c r="K38" t="inlineStr">
        <is>
          <t>2019-06-01</t>
        </is>
      </c>
      <c r="L38" t="inlineStr">
        <is>
          <t>영업중</t>
        </is>
      </c>
      <c r="M38" t="inlineStr">
        <is>
          <t>일반</t>
        </is>
      </c>
      <c r="N38" t="inlineStr">
        <is>
          <t>일반</t>
        </is>
      </c>
      <c r="O38" t="inlineStr">
        <is>
          <t>2025-01-31</t>
        </is>
      </c>
      <c r="P38" t="inlineStr">
        <is>
          <t>없음</t>
        </is>
      </c>
      <c r="Q38" t="inlineStr">
        <is>
          <t>담당2</t>
        </is>
      </c>
      <c r="R38" t="inlineStr">
        <is>
          <t>가상 데이터 / 실분포 반영 시연용</t>
        </is>
      </c>
    </row>
    <row r="39" ht="21" customHeight="1" s="26">
      <c r="A39" t="inlineStr">
        <is>
          <t>EXA-0038</t>
        </is>
      </c>
      <c r="B39" t="inlineStr">
        <is>
          <t>다온스타외환서비스 038호</t>
        </is>
      </c>
      <c r="C39" t="inlineStr">
        <is>
          <t>권현연</t>
        </is>
      </c>
      <c r="D39" t="inlineStr">
        <is>
          <t>경기도</t>
        </is>
      </c>
      <c r="E39" t="inlineStr">
        <is>
          <t>부천시</t>
        </is>
      </c>
      <c r="F39" t="inlineStr">
        <is>
          <t>부천</t>
        </is>
      </c>
      <c r="G39" t="inlineStr">
        <is>
          <t>경기도 부천시 길주로 47-4</t>
        </is>
      </c>
      <c r="J39" t="inlineStr">
        <is>
          <t>미검증</t>
        </is>
      </c>
      <c r="K39" t="inlineStr">
        <is>
          <t>2017-01-02</t>
        </is>
      </c>
      <c r="L39" t="inlineStr">
        <is>
          <t>영업중</t>
        </is>
      </c>
      <c r="M39" t="inlineStr">
        <is>
          <t>개인</t>
        </is>
      </c>
      <c r="N39" t="inlineStr">
        <is>
          <t>관광지 인접</t>
        </is>
      </c>
      <c r="O39" t="inlineStr">
        <is>
          <t>2025-07-13</t>
        </is>
      </c>
      <c r="P39" t="inlineStr">
        <is>
          <t>없음</t>
        </is>
      </c>
      <c r="Q39" t="inlineStr">
        <is>
          <t>담당3</t>
        </is>
      </c>
      <c r="R39" t="inlineStr">
        <is>
          <t>가상 데이터 / 실분포 반영 시연용</t>
        </is>
      </c>
    </row>
    <row r="40" ht="21" customHeight="1" s="26">
      <c r="A40" t="inlineStr">
        <is>
          <t>EXA-0039</t>
        </is>
      </c>
      <c r="B40" t="inlineStr">
        <is>
          <t>스마트프라임환전 039호</t>
        </is>
      </c>
      <c r="C40" t="inlineStr">
        <is>
          <t>장하진</t>
        </is>
      </c>
      <c r="D40" t="inlineStr">
        <is>
          <t>인천광역시</t>
        </is>
      </c>
      <c r="E40" t="inlineStr">
        <is>
          <t>부평구</t>
        </is>
      </c>
      <c r="F40" t="inlineStr">
        <is>
          <t>부평</t>
        </is>
      </c>
      <c r="G40" t="inlineStr">
        <is>
          <t>인천광역시 부평구 시장로 143</t>
        </is>
      </c>
      <c r="J40" t="inlineStr">
        <is>
          <t>미검증</t>
        </is>
      </c>
      <c r="K40" t="inlineStr">
        <is>
          <t>2011-12-23</t>
        </is>
      </c>
      <c r="L40" t="inlineStr">
        <is>
          <t>영업중</t>
        </is>
      </c>
      <c r="M40" t="inlineStr">
        <is>
          <t>개인</t>
        </is>
      </c>
      <c r="N40" t="inlineStr">
        <is>
          <t>일반</t>
        </is>
      </c>
      <c r="O40" t="inlineStr">
        <is>
          <t>2021-12-29</t>
        </is>
      </c>
      <c r="P40" t="inlineStr">
        <is>
          <t>경미</t>
        </is>
      </c>
      <c r="Q40" t="inlineStr">
        <is>
          <t>담당1</t>
        </is>
      </c>
      <c r="R40" t="inlineStr">
        <is>
          <t>가상 데이터 / 실분포 반영 시연용</t>
        </is>
      </c>
    </row>
    <row r="41" ht="21" customHeight="1" s="26">
      <c r="A41" t="inlineStr">
        <is>
          <t>EXA-0040</t>
        </is>
      </c>
      <c r="B41" t="inlineStr">
        <is>
          <t>동서머니체인지 040호</t>
        </is>
      </c>
      <c r="C41" t="inlineStr">
        <is>
          <t>황수빈</t>
        </is>
      </c>
      <c r="D41" t="inlineStr">
        <is>
          <t>경기도</t>
        </is>
      </c>
      <c r="E41" t="inlineStr">
        <is>
          <t>부천시</t>
        </is>
      </c>
      <c r="F41" t="inlineStr">
        <is>
          <t>부천</t>
        </is>
      </c>
      <c r="G41" t="inlineStr">
        <is>
          <t>경기도 부천시 신흥로 60</t>
        </is>
      </c>
      <c r="J41" t="inlineStr">
        <is>
          <t>미검증</t>
        </is>
      </c>
      <c r="K41" t="inlineStr">
        <is>
          <t>2016-01-25</t>
        </is>
      </c>
      <c r="L41" t="inlineStr">
        <is>
          <t>폐업</t>
        </is>
      </c>
      <c r="M41" t="inlineStr">
        <is>
          <t>법인</t>
        </is>
      </c>
      <c r="N41" t="inlineStr">
        <is>
          <t>주거지역</t>
        </is>
      </c>
      <c r="O41" t="inlineStr">
        <is>
          <t>2022-11-29</t>
        </is>
      </c>
      <c r="P41" t="inlineStr">
        <is>
          <t>없음</t>
        </is>
      </c>
      <c r="Q41" t="inlineStr">
        <is>
          <t>담당4</t>
        </is>
      </c>
      <c r="R41" t="inlineStr">
        <is>
          <t>가상 데이터 / 실분포 반영 시연용</t>
        </is>
      </c>
    </row>
    <row r="42" ht="21" customHeight="1" s="26">
      <c r="A42" t="inlineStr">
        <is>
          <t>EXA-0041</t>
        </is>
      </c>
      <c r="B42" t="inlineStr">
        <is>
          <t>스마트프라임환전소 041호</t>
        </is>
      </c>
      <c r="C42" t="inlineStr">
        <is>
          <t>장도호</t>
        </is>
      </c>
      <c r="D42" t="inlineStr">
        <is>
          <t>경기도</t>
        </is>
      </c>
      <c r="E42" t="inlineStr">
        <is>
          <t>시흥시</t>
        </is>
      </c>
      <c r="F42" t="inlineStr">
        <is>
          <t>정왕시장</t>
        </is>
      </c>
      <c r="G42" t="inlineStr">
        <is>
          <t>경기도 시흥시 정왕동 군서로 70</t>
        </is>
      </c>
      <c r="J42" t="inlineStr">
        <is>
          <t>미검증</t>
        </is>
      </c>
      <c r="K42" t="inlineStr">
        <is>
          <t>2014-08-15</t>
        </is>
      </c>
      <c r="L42" t="inlineStr">
        <is>
          <t>영업중</t>
        </is>
      </c>
      <c r="M42" t="inlineStr">
        <is>
          <t>개인</t>
        </is>
      </c>
      <c r="N42" t="inlineStr">
        <is>
          <t>일반</t>
        </is>
      </c>
      <c r="O42" t="inlineStr">
        <is>
          <t>2023-02-21</t>
        </is>
      </c>
      <c r="P42" t="inlineStr">
        <is>
          <t>없음</t>
        </is>
      </c>
      <c r="Q42" t="inlineStr">
        <is>
          <t>담당4</t>
        </is>
      </c>
      <c r="R42" t="inlineStr">
        <is>
          <t>가상 데이터 / 실분포 반영 시연용</t>
        </is>
      </c>
    </row>
    <row r="43" ht="21" customHeight="1" s="26">
      <c r="A43" t="inlineStr">
        <is>
          <t>EXA-0042</t>
        </is>
      </c>
      <c r="B43" t="inlineStr">
        <is>
          <t>나래원익스체인지 042호</t>
        </is>
      </c>
      <c r="C43" t="inlineStr">
        <is>
          <t>장서준</t>
        </is>
      </c>
      <c r="D43" t="inlineStr">
        <is>
          <t>경기도</t>
        </is>
      </c>
      <c r="E43" t="inlineStr">
        <is>
          <t>부천시</t>
        </is>
      </c>
      <c r="F43" t="inlineStr">
        <is>
          <t>부천</t>
        </is>
      </c>
      <c r="G43" t="inlineStr">
        <is>
          <t>경기도 부천시 부일로 73</t>
        </is>
      </c>
      <c r="J43" t="inlineStr">
        <is>
          <t>미검증</t>
        </is>
      </c>
      <c r="K43" t="inlineStr">
        <is>
          <t>2023-04-10</t>
        </is>
      </c>
      <c r="L43" t="inlineStr">
        <is>
          <t>영업중</t>
        </is>
      </c>
      <c r="M43" t="inlineStr">
        <is>
          <t>법인</t>
        </is>
      </c>
      <c r="N43" t="inlineStr">
        <is>
          <t>일반</t>
        </is>
      </c>
      <c r="O43" t="inlineStr">
        <is>
          <t>2022-10-27</t>
        </is>
      </c>
      <c r="P43" t="inlineStr">
        <is>
          <t>없음</t>
        </is>
      </c>
      <c r="Q43" t="inlineStr">
        <is>
          <t>담당1</t>
        </is>
      </c>
      <c r="R43" t="inlineStr">
        <is>
          <t>가상 데이터 / 실분포 반영 시연용</t>
        </is>
      </c>
    </row>
    <row r="44" ht="21" customHeight="1" s="26">
      <c r="A44" t="inlineStr">
        <is>
          <t>EXA-0043</t>
        </is>
      </c>
      <c r="B44" t="inlineStr">
        <is>
          <t>오션외환서비스 043호</t>
        </is>
      </c>
      <c r="C44" t="inlineStr">
        <is>
          <t>안하준</t>
        </is>
      </c>
      <c r="D44" t="inlineStr">
        <is>
          <t>경기도</t>
        </is>
      </c>
      <c r="E44" t="inlineStr">
        <is>
          <t>안산시</t>
        </is>
      </c>
      <c r="F44" t="inlineStr">
        <is>
          <t>원곡동</t>
        </is>
      </c>
      <c r="G44" t="inlineStr">
        <is>
          <t>경기도 안산시 단원구 원곡동 원곡로 90</t>
        </is>
      </c>
      <c r="J44" t="inlineStr">
        <is>
          <t>미검증</t>
        </is>
      </c>
      <c r="K44" t="inlineStr">
        <is>
          <t>2022-10-18</t>
        </is>
      </c>
      <c r="L44" t="inlineStr">
        <is>
          <t>휴업</t>
        </is>
      </c>
      <c r="M44" t="inlineStr">
        <is>
          <t>개인</t>
        </is>
      </c>
      <c r="N44" t="inlineStr">
        <is>
          <t>주거지역</t>
        </is>
      </c>
      <c r="O44" t="inlineStr">
        <is>
          <t>2025-04-16</t>
        </is>
      </c>
      <c r="P44" t="inlineStr">
        <is>
          <t>없음</t>
        </is>
      </c>
      <c r="Q44" t="inlineStr">
        <is>
          <t>담당1</t>
        </is>
      </c>
      <c r="R44" t="inlineStr">
        <is>
          <t>가상 데이터 / 실분포 반영 시연용</t>
        </is>
      </c>
    </row>
    <row r="45" ht="21" customHeight="1" s="26">
      <c r="A45" t="inlineStr">
        <is>
          <t>EXA-0044</t>
        </is>
      </c>
      <c r="B45" t="inlineStr">
        <is>
          <t>세명원익스체인지 044호</t>
        </is>
      </c>
      <c r="C45" t="inlineStr">
        <is>
          <t>서도지</t>
        </is>
      </c>
      <c r="D45" t="inlineStr">
        <is>
          <t>경기도</t>
        </is>
      </c>
      <c r="E45" t="inlineStr">
        <is>
          <t>시흥시</t>
        </is>
      </c>
      <c r="F45" t="inlineStr">
        <is>
          <t>정왕시장</t>
        </is>
      </c>
      <c r="G45" t="inlineStr">
        <is>
          <t>경기도 시흥시 정왕동 정왕시장길 86</t>
        </is>
      </c>
      <c r="J45" t="inlineStr">
        <is>
          <t>미검증</t>
        </is>
      </c>
      <c r="K45" t="inlineStr">
        <is>
          <t>2024-07-28</t>
        </is>
      </c>
      <c r="L45" t="inlineStr">
        <is>
          <t>영업중</t>
        </is>
      </c>
      <c r="M45" t="inlineStr">
        <is>
          <t>개인</t>
        </is>
      </c>
      <c r="N45" t="inlineStr">
        <is>
          <t>일반</t>
        </is>
      </c>
      <c r="O45" t="inlineStr">
        <is>
          <t>2021-07-23</t>
        </is>
      </c>
      <c r="P45" t="inlineStr">
        <is>
          <t>없음</t>
        </is>
      </c>
      <c r="Q45" t="inlineStr">
        <is>
          <t>담당1</t>
        </is>
      </c>
      <c r="R45" t="inlineStr">
        <is>
          <t>가상 데이터 / 실분포 반영 시연용</t>
        </is>
      </c>
    </row>
    <row r="46" ht="21" customHeight="1" s="26">
      <c r="A46" t="inlineStr">
        <is>
          <t>EXA-0045</t>
        </is>
      </c>
      <c r="B46" t="inlineStr">
        <is>
          <t>세계원머니체인지 045호</t>
        </is>
      </c>
      <c r="C46" t="inlineStr">
        <is>
          <t>오태진</t>
        </is>
      </c>
      <c r="D46" t="inlineStr">
        <is>
          <t>경기도</t>
        </is>
      </c>
      <c r="E46" t="inlineStr">
        <is>
          <t>안산시</t>
        </is>
      </c>
      <c r="F46" t="inlineStr">
        <is>
          <t>원곡동</t>
        </is>
      </c>
      <c r="G46" t="inlineStr">
        <is>
          <t>경기도 안산시 단원구 원곡동 원선로 103-2</t>
        </is>
      </c>
      <c r="J46" t="inlineStr">
        <is>
          <t>미검증</t>
        </is>
      </c>
      <c r="K46" t="inlineStr">
        <is>
          <t>2015-10-15</t>
        </is>
      </c>
      <c r="L46" t="inlineStr">
        <is>
          <t>휴업</t>
        </is>
      </c>
      <c r="M46" t="inlineStr">
        <is>
          <t>개인</t>
        </is>
      </c>
      <c r="N46" t="inlineStr">
        <is>
          <t>일반</t>
        </is>
      </c>
      <c r="O46" t="inlineStr">
        <is>
          <t>2023-05-06</t>
        </is>
      </c>
      <c r="P46" t="inlineStr">
        <is>
          <t>없음</t>
        </is>
      </c>
      <c r="Q46" t="inlineStr">
        <is>
          <t>담당3</t>
        </is>
      </c>
      <c r="R46" t="inlineStr">
        <is>
          <t>가상 데이터 / 실분포 반영 시연용</t>
        </is>
      </c>
    </row>
    <row r="47" ht="21" customHeight="1" s="26">
      <c r="A47" t="inlineStr">
        <is>
          <t>EXA-0046</t>
        </is>
      </c>
      <c r="B47" t="inlineStr">
        <is>
          <t>상록원머니체인지 046호</t>
        </is>
      </c>
      <c r="C47" t="inlineStr">
        <is>
          <t>류수현</t>
        </is>
      </c>
      <c r="D47" t="inlineStr">
        <is>
          <t>경기도</t>
        </is>
      </c>
      <c r="E47" t="inlineStr">
        <is>
          <t>안산시</t>
        </is>
      </c>
      <c r="F47" t="inlineStr">
        <is>
          <t>원곡동</t>
        </is>
      </c>
      <c r="G47" t="inlineStr">
        <is>
          <t>경기도 안산시 단원구 원곡동 화랑로 113</t>
        </is>
      </c>
      <c r="J47" t="inlineStr">
        <is>
          <t>미검증</t>
        </is>
      </c>
      <c r="K47" t="inlineStr">
        <is>
          <t>2015-12-16</t>
        </is>
      </c>
      <c r="L47" t="inlineStr">
        <is>
          <t>영업중</t>
        </is>
      </c>
      <c r="M47" t="inlineStr">
        <is>
          <t>일반</t>
        </is>
      </c>
      <c r="N47" t="inlineStr">
        <is>
          <t>관광지 인접</t>
        </is>
      </c>
      <c r="O47" t="inlineStr">
        <is>
          <t>2021-07-09</t>
        </is>
      </c>
      <c r="P47" t="inlineStr">
        <is>
          <t>경미</t>
        </is>
      </c>
      <c r="Q47" t="inlineStr">
        <is>
          <t>담당4</t>
        </is>
      </c>
      <c r="R47" t="inlineStr">
        <is>
          <t>가상 데이터 / 실분포 반영 시연용</t>
        </is>
      </c>
    </row>
    <row r="48" ht="21" customHeight="1" s="26">
      <c r="A48" t="inlineStr">
        <is>
          <t>EXA-0047</t>
        </is>
      </c>
      <c r="B48" t="inlineStr">
        <is>
          <t>미래원환전 047호</t>
        </is>
      </c>
      <c r="C48" t="inlineStr">
        <is>
          <t>안서현</t>
        </is>
      </c>
      <c r="D48" t="inlineStr">
        <is>
          <t>경기도</t>
        </is>
      </c>
      <c r="E48" t="inlineStr">
        <is>
          <t>시흥시</t>
        </is>
      </c>
      <c r="F48" t="inlineStr">
        <is>
          <t>정왕시장</t>
        </is>
      </c>
      <c r="G48" t="inlineStr">
        <is>
          <t>경기도 시흥시 정왕동 중심상가로 102</t>
        </is>
      </c>
      <c r="J48" t="inlineStr">
        <is>
          <t>미검증</t>
        </is>
      </c>
      <c r="K48" t="inlineStr">
        <is>
          <t>2015-12-03</t>
        </is>
      </c>
      <c r="L48" t="inlineStr">
        <is>
          <t>영업중</t>
        </is>
      </c>
      <c r="M48" t="inlineStr">
        <is>
          <t>개인</t>
        </is>
      </c>
      <c r="N48" t="inlineStr">
        <is>
          <t>상업지역</t>
        </is>
      </c>
      <c r="O48" t="inlineStr">
        <is>
          <t>2021-12-05</t>
        </is>
      </c>
      <c r="P48" t="inlineStr">
        <is>
          <t>중대</t>
        </is>
      </c>
      <c r="Q48" t="inlineStr">
        <is>
          <t>담당1</t>
        </is>
      </c>
      <c r="R48" t="inlineStr">
        <is>
          <t>가상 데이터 / 실분포 반영 시연용</t>
        </is>
      </c>
    </row>
    <row r="49" ht="21" customHeight="1" s="26">
      <c r="A49" t="inlineStr">
        <is>
          <t>EXA-0048</t>
        </is>
      </c>
      <c r="B49" t="inlineStr">
        <is>
          <t>안산플러스환전소 048호</t>
        </is>
      </c>
      <c r="C49" t="inlineStr">
        <is>
          <t>이수아</t>
        </is>
      </c>
      <c r="D49" t="inlineStr">
        <is>
          <t>경기도</t>
        </is>
      </c>
      <c r="E49" t="inlineStr">
        <is>
          <t>안산시</t>
        </is>
      </c>
      <c r="F49" t="inlineStr">
        <is>
          <t>원곡동</t>
        </is>
      </c>
      <c r="G49" t="inlineStr">
        <is>
          <t>경기도 안산시 단원구 원곡동 백성길 126</t>
        </is>
      </c>
      <c r="J49" t="inlineStr">
        <is>
          <t>미검증</t>
        </is>
      </c>
      <c r="K49" t="inlineStr">
        <is>
          <t>2018-11-04</t>
        </is>
      </c>
      <c r="L49" t="inlineStr">
        <is>
          <t>영업중</t>
        </is>
      </c>
      <c r="M49" t="inlineStr">
        <is>
          <t>개인</t>
        </is>
      </c>
      <c r="N49" t="inlineStr">
        <is>
          <t>주거지역</t>
        </is>
      </c>
      <c r="O49" t="inlineStr">
        <is>
          <t>2022-04-21</t>
        </is>
      </c>
      <c r="P49" t="inlineStr">
        <is>
          <t>없음</t>
        </is>
      </c>
      <c r="Q49" t="inlineStr">
        <is>
          <t>담당2</t>
        </is>
      </c>
      <c r="R49" t="inlineStr">
        <is>
          <t>가상 데이터 / 실분포 반영 시연용</t>
        </is>
      </c>
    </row>
    <row r="50" ht="21" customHeight="1" s="26">
      <c r="A50" t="inlineStr">
        <is>
          <t>EXA-0049</t>
        </is>
      </c>
      <c r="B50" t="inlineStr">
        <is>
          <t>다정익스체인지 049호</t>
        </is>
      </c>
      <c r="C50" t="inlineStr">
        <is>
          <t>황서희</t>
        </is>
      </c>
      <c r="D50" t="inlineStr">
        <is>
          <t>경기도</t>
        </is>
      </c>
      <c r="E50" t="inlineStr">
        <is>
          <t>안산시</t>
        </is>
      </c>
      <c r="F50" t="inlineStr">
        <is>
          <t>원곡동</t>
        </is>
      </c>
      <c r="G50" t="inlineStr">
        <is>
          <t>경기도 안산시 단원구 원곡동 원초로 136</t>
        </is>
      </c>
      <c r="J50" t="inlineStr">
        <is>
          <t>미검증</t>
        </is>
      </c>
      <c r="K50" t="inlineStr">
        <is>
          <t>2022-01-03</t>
        </is>
      </c>
      <c r="L50" t="inlineStr">
        <is>
          <t>영업중</t>
        </is>
      </c>
      <c r="M50" t="inlineStr">
        <is>
          <t>일반</t>
        </is>
      </c>
      <c r="N50" t="inlineStr">
        <is>
          <t>관광지 인접</t>
        </is>
      </c>
      <c r="O50" t="inlineStr">
        <is>
          <t>2024-04-22</t>
        </is>
      </c>
      <c r="P50" t="inlineStr">
        <is>
          <t>경미</t>
        </is>
      </c>
      <c r="Q50" t="inlineStr">
        <is>
          <t>담당3</t>
        </is>
      </c>
      <c r="R50" t="inlineStr">
        <is>
          <t>가상 데이터 / 실분포 반영 시연용</t>
        </is>
      </c>
    </row>
    <row r="51" ht="21" customHeight="1" s="26">
      <c r="A51" t="inlineStr">
        <is>
          <t>EXA-0050</t>
        </is>
      </c>
      <c r="B51" t="inlineStr">
        <is>
          <t>동서원외환서비스 050호</t>
        </is>
      </c>
      <c r="C51" t="inlineStr">
        <is>
          <t>박지빈</t>
        </is>
      </c>
      <c r="D51" t="inlineStr">
        <is>
          <t>경기도</t>
        </is>
      </c>
      <c r="E51" t="inlineStr">
        <is>
          <t>부천시</t>
        </is>
      </c>
      <c r="F51" t="inlineStr">
        <is>
          <t>부천</t>
        </is>
      </c>
      <c r="G51" t="inlineStr">
        <is>
          <t>경기도 부천시 석천로 104</t>
        </is>
      </c>
      <c r="J51" t="inlineStr">
        <is>
          <t>미검증</t>
        </is>
      </c>
      <c r="K51" t="inlineStr">
        <is>
          <t>2012-04-09</t>
        </is>
      </c>
      <c r="L51" t="inlineStr">
        <is>
          <t>영업중</t>
        </is>
      </c>
      <c r="M51" t="inlineStr">
        <is>
          <t>일반</t>
        </is>
      </c>
      <c r="N51" t="inlineStr">
        <is>
          <t>상업지역</t>
        </is>
      </c>
      <c r="O51" t="inlineStr">
        <is>
          <t>2024-08-10</t>
        </is>
      </c>
      <c r="P51" t="inlineStr">
        <is>
          <t>없음</t>
        </is>
      </c>
      <c r="Q51" t="inlineStr">
        <is>
          <t>담당1</t>
        </is>
      </c>
      <c r="R51" t="inlineStr">
        <is>
          <t>가상 데이터 / 실분포 반영 시연용</t>
        </is>
      </c>
    </row>
    <row r="52" ht="21" customHeight="1" s="26">
      <c r="A52" t="inlineStr">
        <is>
          <t>EXA-0051</t>
        </is>
      </c>
      <c r="B52" t="inlineStr">
        <is>
          <t>단원스타머니체인지 051호</t>
        </is>
      </c>
      <c r="C52" t="inlineStr">
        <is>
          <t>신민아</t>
        </is>
      </c>
      <c r="D52" t="inlineStr">
        <is>
          <t>경기도</t>
        </is>
      </c>
      <c r="E52" t="inlineStr">
        <is>
          <t>안산시</t>
        </is>
      </c>
      <c r="F52" t="inlineStr">
        <is>
          <t>원곡동</t>
        </is>
      </c>
      <c r="G52" t="inlineStr">
        <is>
          <t>경기도 안산시 단원구 원곡동 다문화길 149</t>
        </is>
      </c>
      <c r="J52" t="inlineStr">
        <is>
          <t>미검증</t>
        </is>
      </c>
      <c r="K52" t="inlineStr">
        <is>
          <t>2024-08-19</t>
        </is>
      </c>
      <c r="L52" t="inlineStr">
        <is>
          <t>영업중</t>
        </is>
      </c>
      <c r="M52" t="inlineStr">
        <is>
          <t>법인</t>
        </is>
      </c>
      <c r="N52" t="inlineStr">
        <is>
          <t>일반</t>
        </is>
      </c>
      <c r="O52" t="inlineStr">
        <is>
          <t>2023-05-07</t>
        </is>
      </c>
      <c r="P52" t="inlineStr">
        <is>
          <t>없음</t>
        </is>
      </c>
      <c r="Q52" t="inlineStr">
        <is>
          <t>담당1</t>
        </is>
      </c>
      <c r="R52" t="inlineStr">
        <is>
          <t>가상 데이터 / 실분포 반영 시연용</t>
        </is>
      </c>
    </row>
    <row r="53" ht="21" customHeight="1" s="26">
      <c r="A53" t="inlineStr">
        <is>
          <t>EXA-0052</t>
        </is>
      </c>
      <c r="B53" t="inlineStr">
        <is>
          <t>다온원환전소 052호</t>
        </is>
      </c>
      <c r="C53" t="inlineStr">
        <is>
          <t>김준희</t>
        </is>
      </c>
      <c r="D53" t="inlineStr">
        <is>
          <t>경기도</t>
        </is>
      </c>
      <c r="E53" t="inlineStr">
        <is>
          <t>안산시</t>
        </is>
      </c>
      <c r="F53" t="inlineStr">
        <is>
          <t>원곡동</t>
        </is>
      </c>
      <c r="G53" t="inlineStr">
        <is>
          <t>경기도 안산시 단원구 원곡동 원곡로 17-7</t>
        </is>
      </c>
      <c r="J53" t="inlineStr">
        <is>
          <t>미검증</t>
        </is>
      </c>
      <c r="K53" t="inlineStr">
        <is>
          <t>2011-07-06</t>
        </is>
      </c>
      <c r="L53" t="inlineStr">
        <is>
          <t>휴업</t>
        </is>
      </c>
      <c r="M53" t="inlineStr">
        <is>
          <t>일반</t>
        </is>
      </c>
      <c r="N53" t="inlineStr">
        <is>
          <t>관광지 인접</t>
        </is>
      </c>
      <c r="O53" t="inlineStr">
        <is>
          <t>2024-12-09</t>
        </is>
      </c>
      <c r="P53" t="inlineStr">
        <is>
          <t>경미</t>
        </is>
      </c>
      <c r="Q53" t="inlineStr">
        <is>
          <t>담당4</t>
        </is>
      </c>
      <c r="R53" t="inlineStr">
        <is>
          <t>가상 데이터 / 실분포 반영 시연용</t>
        </is>
      </c>
    </row>
    <row r="54" ht="21" customHeight="1" s="26">
      <c r="A54" t="inlineStr">
        <is>
          <t>EXA-0053</t>
        </is>
      </c>
      <c r="B54" t="inlineStr">
        <is>
          <t>이음프라임환전 053호</t>
        </is>
      </c>
      <c r="C54" t="inlineStr">
        <is>
          <t>이태지</t>
        </is>
      </c>
      <c r="D54" t="inlineStr">
        <is>
          <t>인천광역시</t>
        </is>
      </c>
      <c r="E54" t="inlineStr">
        <is>
          <t>부평구</t>
        </is>
      </c>
      <c r="F54" t="inlineStr">
        <is>
          <t>부평</t>
        </is>
      </c>
      <c r="G54" t="inlineStr">
        <is>
          <t>인천광역시 부평구 부흥로 50</t>
        </is>
      </c>
      <c r="J54" t="inlineStr">
        <is>
          <t>미검증</t>
        </is>
      </c>
      <c r="K54" t="inlineStr">
        <is>
          <t>2024-12-07</t>
        </is>
      </c>
      <c r="L54" t="inlineStr">
        <is>
          <t>영업중</t>
        </is>
      </c>
      <c r="M54" t="inlineStr">
        <is>
          <t>일반</t>
        </is>
      </c>
      <c r="N54" t="inlineStr">
        <is>
          <t>주거지역</t>
        </is>
      </c>
      <c r="O54" t="inlineStr">
        <is>
          <t>2021-08-26</t>
        </is>
      </c>
      <c r="P54" t="inlineStr">
        <is>
          <t>없음</t>
        </is>
      </c>
      <c r="Q54" t="inlineStr">
        <is>
          <t>담당2</t>
        </is>
      </c>
      <c r="R54" t="inlineStr">
        <is>
          <t>가상 데이터 / 실분포 반영 시연용</t>
        </is>
      </c>
    </row>
    <row r="55" ht="21" customHeight="1" s="26">
      <c r="A55" t="inlineStr">
        <is>
          <t>EXA-0054</t>
        </is>
      </c>
      <c r="B55" t="inlineStr">
        <is>
          <t>안산플러스머니체인지 054호</t>
        </is>
      </c>
      <c r="C55" t="inlineStr">
        <is>
          <t>조영지</t>
        </is>
      </c>
      <c r="D55" t="inlineStr">
        <is>
          <t>경기도</t>
        </is>
      </c>
      <c r="E55" t="inlineStr">
        <is>
          <t>안산시</t>
        </is>
      </c>
      <c r="F55" t="inlineStr">
        <is>
          <t>원곡동</t>
        </is>
      </c>
      <c r="G55" t="inlineStr">
        <is>
          <t>경기도 안산시 단원구 원곡동 원선로 30</t>
        </is>
      </c>
      <c r="J55" t="inlineStr">
        <is>
          <t>미검증</t>
        </is>
      </c>
      <c r="K55" t="inlineStr">
        <is>
          <t>2012-07-31</t>
        </is>
      </c>
      <c r="L55" t="inlineStr">
        <is>
          <t>휴업</t>
        </is>
      </c>
      <c r="M55" t="inlineStr">
        <is>
          <t>법인</t>
        </is>
      </c>
      <c r="N55" t="inlineStr">
        <is>
          <t>상업지역</t>
        </is>
      </c>
      <c r="O55" t="inlineStr">
        <is>
          <t>2026-01-20</t>
        </is>
      </c>
      <c r="P55" t="inlineStr">
        <is>
          <t>경미</t>
        </is>
      </c>
      <c r="Q55" t="inlineStr">
        <is>
          <t>담당2</t>
        </is>
      </c>
      <c r="R55" t="inlineStr">
        <is>
          <t>가상 데이터 / 실분포 반영 시연용</t>
        </is>
      </c>
    </row>
    <row r="56" ht="21" customHeight="1" s="26">
      <c r="A56" t="inlineStr">
        <is>
          <t>EXA-0055</t>
        </is>
      </c>
      <c r="B56" t="inlineStr">
        <is>
          <t>스마트스타머니체인지 055호</t>
        </is>
      </c>
      <c r="C56" t="inlineStr">
        <is>
          <t>정영석</t>
        </is>
      </c>
      <c r="D56" t="inlineStr">
        <is>
          <t>인천광역시</t>
        </is>
      </c>
      <c r="E56" t="inlineStr">
        <is>
          <t>부평구</t>
        </is>
      </c>
      <c r="F56" t="inlineStr">
        <is>
          <t>부평</t>
        </is>
      </c>
      <c r="G56" t="inlineStr">
        <is>
          <t>인천광역시 부평구 부평문화로 63-6</t>
        </is>
      </c>
      <c r="J56" t="inlineStr">
        <is>
          <t>미검증</t>
        </is>
      </c>
      <c r="K56" t="inlineStr">
        <is>
          <t>2015-07-21</t>
        </is>
      </c>
      <c r="L56" t="inlineStr">
        <is>
          <t>영업중</t>
        </is>
      </c>
      <c r="M56" t="inlineStr">
        <is>
          <t>일반</t>
        </is>
      </c>
      <c r="N56" t="inlineStr">
        <is>
          <t>주거지역</t>
        </is>
      </c>
      <c r="O56" t="inlineStr">
        <is>
          <t>2021-01-18</t>
        </is>
      </c>
      <c r="P56" t="inlineStr">
        <is>
          <t>중대</t>
        </is>
      </c>
      <c r="Q56" t="inlineStr">
        <is>
          <t>담당2</t>
        </is>
      </c>
      <c r="R56" t="inlineStr">
        <is>
          <t>가상 데이터 / 실분포 반영 시연용</t>
        </is>
      </c>
    </row>
    <row r="57" ht="21" customHeight="1" s="26">
      <c r="A57" t="inlineStr">
        <is>
          <t>EXA-0056</t>
        </is>
      </c>
      <c r="B57" t="inlineStr">
        <is>
          <t>한마음프라임환전소 056호</t>
        </is>
      </c>
      <c r="C57" t="inlineStr">
        <is>
          <t>김영희</t>
        </is>
      </c>
      <c r="D57" t="inlineStr">
        <is>
          <t>경기도</t>
        </is>
      </c>
      <c r="E57" t="inlineStr">
        <is>
          <t>안산시</t>
        </is>
      </c>
      <c r="F57" t="inlineStr">
        <is>
          <t>원곡동</t>
        </is>
      </c>
      <c r="G57" t="inlineStr">
        <is>
          <t>경기도 안산시 단원구 원곡동 화랑로 43</t>
        </is>
      </c>
      <c r="J57" t="inlineStr">
        <is>
          <t>미검증</t>
        </is>
      </c>
      <c r="K57" t="inlineStr">
        <is>
          <t>2021-09-14</t>
        </is>
      </c>
      <c r="L57" t="inlineStr">
        <is>
          <t>영업중</t>
        </is>
      </c>
      <c r="M57" t="inlineStr">
        <is>
          <t>일반</t>
        </is>
      </c>
      <c r="N57" t="inlineStr">
        <is>
          <t>일반</t>
        </is>
      </c>
      <c r="O57" t="inlineStr">
        <is>
          <t>2021-07-23</t>
        </is>
      </c>
      <c r="P57" t="inlineStr">
        <is>
          <t>없음</t>
        </is>
      </c>
      <c r="Q57" t="inlineStr">
        <is>
          <t>담당2</t>
        </is>
      </c>
      <c r="R57" t="inlineStr">
        <is>
          <t>가상 데이터 / 실분포 반영 시연용</t>
        </is>
      </c>
    </row>
    <row r="58" ht="21" customHeight="1" s="26">
      <c r="A58" t="inlineStr">
        <is>
          <t>EXA-0057</t>
        </is>
      </c>
      <c r="B58" t="inlineStr">
        <is>
          <t>태양프라임머니체인지 057호</t>
        </is>
      </c>
      <c r="C58" t="inlineStr">
        <is>
          <t>임하희</t>
        </is>
      </c>
      <c r="D58" t="inlineStr">
        <is>
          <t>경기도</t>
        </is>
      </c>
      <c r="E58" t="inlineStr">
        <is>
          <t>안산시</t>
        </is>
      </c>
      <c r="F58" t="inlineStr">
        <is>
          <t>원곡동</t>
        </is>
      </c>
      <c r="G58" t="inlineStr">
        <is>
          <t>경기도 안산시 단원구 원곡동 백성길 53</t>
        </is>
      </c>
      <c r="J58" t="inlineStr">
        <is>
          <t>미검증</t>
        </is>
      </c>
      <c r="K58" t="inlineStr">
        <is>
          <t>2018-11-03</t>
        </is>
      </c>
      <c r="L58" t="inlineStr">
        <is>
          <t>영업중</t>
        </is>
      </c>
      <c r="M58" t="inlineStr">
        <is>
          <t>법인</t>
        </is>
      </c>
      <c r="N58" t="inlineStr">
        <is>
          <t>일반</t>
        </is>
      </c>
      <c r="O58" t="inlineStr">
        <is>
          <t>2025-07-01</t>
        </is>
      </c>
      <c r="P58" t="inlineStr">
        <is>
          <t>없음</t>
        </is>
      </c>
      <c r="Q58" t="inlineStr">
        <is>
          <t>담당3</t>
        </is>
      </c>
      <c r="R58" t="inlineStr">
        <is>
          <t>가상 데이터 / 실분포 반영 시연용</t>
        </is>
      </c>
    </row>
    <row r="59" ht="21" customHeight="1" s="26">
      <c r="A59" t="inlineStr">
        <is>
          <t>EXA-0058</t>
        </is>
      </c>
      <c r="B59" t="inlineStr">
        <is>
          <t>글로벌프라임환전 058호</t>
        </is>
      </c>
      <c r="C59" t="inlineStr">
        <is>
          <t>강은아</t>
        </is>
      </c>
      <c r="D59" t="inlineStr">
        <is>
          <t>인천광역시</t>
        </is>
      </c>
      <c r="E59" t="inlineStr">
        <is>
          <t>부평구</t>
        </is>
      </c>
      <c r="F59" t="inlineStr">
        <is>
          <t>부평</t>
        </is>
      </c>
      <c r="G59" t="inlineStr">
        <is>
          <t>인천광역시 부평구 대정로 79</t>
        </is>
      </c>
      <c r="J59" t="inlineStr">
        <is>
          <t>미검증</t>
        </is>
      </c>
      <c r="K59" t="inlineStr">
        <is>
          <t>2025-09-22</t>
        </is>
      </c>
      <c r="L59" t="inlineStr">
        <is>
          <t>영업중</t>
        </is>
      </c>
      <c r="M59" t="inlineStr">
        <is>
          <t>법인</t>
        </is>
      </c>
      <c r="N59" t="inlineStr">
        <is>
          <t>일반</t>
        </is>
      </c>
      <c r="O59" t="inlineStr">
        <is>
          <t>2021-10-29</t>
        </is>
      </c>
      <c r="P59" t="inlineStr">
        <is>
          <t>없음</t>
        </is>
      </c>
      <c r="Q59" t="inlineStr">
        <is>
          <t>담당2</t>
        </is>
      </c>
      <c r="R59" t="inlineStr">
        <is>
          <t>가상 데이터 / 실분포 반영 시연용</t>
        </is>
      </c>
    </row>
    <row r="60" ht="21" customHeight="1" s="26">
      <c r="A60" t="inlineStr">
        <is>
          <t>EXA-0059</t>
        </is>
      </c>
      <c r="B60" t="inlineStr">
        <is>
          <t>상록플러스익스체인지 059호</t>
        </is>
      </c>
      <c r="C60" t="inlineStr">
        <is>
          <t>황태진</t>
        </is>
      </c>
      <c r="D60" t="inlineStr">
        <is>
          <t>경기도</t>
        </is>
      </c>
      <c r="E60" t="inlineStr">
        <is>
          <t>안산시</t>
        </is>
      </c>
      <c r="F60" t="inlineStr">
        <is>
          <t>원곡동</t>
        </is>
      </c>
      <c r="G60" t="inlineStr">
        <is>
          <t>경기도 안산시 단원구 원곡동 원초로 66</t>
        </is>
      </c>
      <c r="J60" t="inlineStr">
        <is>
          <t>미검증</t>
        </is>
      </c>
      <c r="K60" t="inlineStr">
        <is>
          <t>2012-02-18</t>
        </is>
      </c>
      <c r="L60" t="inlineStr">
        <is>
          <t>폐업</t>
        </is>
      </c>
      <c r="M60" t="inlineStr">
        <is>
          <t>법인</t>
        </is>
      </c>
      <c r="N60" t="inlineStr">
        <is>
          <t>관광지 인접</t>
        </is>
      </c>
      <c r="O60" t="inlineStr">
        <is>
          <t>2025-11-20</t>
        </is>
      </c>
      <c r="P60" t="inlineStr">
        <is>
          <t>중대</t>
        </is>
      </c>
      <c r="Q60" t="inlineStr">
        <is>
          <t>담당3</t>
        </is>
      </c>
      <c r="R60" t="inlineStr">
        <is>
          <t>가상 데이터 / 실분포 반영 시연용</t>
        </is>
      </c>
    </row>
    <row r="61" ht="21" customHeight="1" s="26">
      <c r="A61" t="inlineStr">
        <is>
          <t>EXA-0060</t>
        </is>
      </c>
      <c r="B61" t="inlineStr">
        <is>
          <t>해솔스타익스체인지 060호</t>
        </is>
      </c>
      <c r="C61" t="inlineStr">
        <is>
          <t>권서진</t>
        </is>
      </c>
      <c r="D61" t="inlineStr">
        <is>
          <t>경기도</t>
        </is>
      </c>
      <c r="E61" t="inlineStr">
        <is>
          <t>안산시</t>
        </is>
      </c>
      <c r="F61" t="inlineStr">
        <is>
          <t>원곡동</t>
        </is>
      </c>
      <c r="G61" t="inlineStr">
        <is>
          <t>경기도 안산시 단원구 원곡동 다문화길 76-5</t>
        </is>
      </c>
      <c r="J61" t="inlineStr">
        <is>
          <t>미검증</t>
        </is>
      </c>
      <c r="K61" t="inlineStr">
        <is>
          <t>2017-01-29</t>
        </is>
      </c>
      <c r="L61" t="inlineStr">
        <is>
          <t>영업중</t>
        </is>
      </c>
      <c r="M61" t="inlineStr">
        <is>
          <t>법인</t>
        </is>
      </c>
      <c r="N61" t="inlineStr">
        <is>
          <t>관광지 인접</t>
        </is>
      </c>
      <c r="O61" t="inlineStr">
        <is>
          <t>2025-12-08</t>
        </is>
      </c>
      <c r="P61" t="inlineStr">
        <is>
          <t>없음</t>
        </is>
      </c>
      <c r="Q61" t="inlineStr">
        <is>
          <t>담당1</t>
        </is>
      </c>
      <c r="R61" t="inlineStr">
        <is>
          <t>가상 데이터 / 실분포 반영 시연용</t>
        </is>
      </c>
    </row>
    <row r="62" ht="21" customHeight="1" s="26">
      <c r="A62" t="inlineStr">
        <is>
          <t>EXA-0061</t>
        </is>
      </c>
      <c r="B62" t="inlineStr">
        <is>
          <t>미래머니체인지 061호</t>
        </is>
      </c>
      <c r="C62" t="inlineStr">
        <is>
          <t>황영빈</t>
        </is>
      </c>
      <c r="D62" t="inlineStr">
        <is>
          <t>경기도</t>
        </is>
      </c>
      <c r="E62" t="inlineStr">
        <is>
          <t>안산시</t>
        </is>
      </c>
      <c r="F62" t="inlineStr">
        <is>
          <t>원곡동</t>
        </is>
      </c>
      <c r="G62" t="inlineStr">
        <is>
          <t>경기도 안산시 단원구 원곡동 원곡로 86</t>
        </is>
      </c>
      <c r="J62" t="inlineStr">
        <is>
          <t>미검증</t>
        </is>
      </c>
      <c r="K62" t="inlineStr">
        <is>
          <t>2025-07-12</t>
        </is>
      </c>
      <c r="L62" t="inlineStr">
        <is>
          <t>영업중</t>
        </is>
      </c>
      <c r="M62" t="inlineStr">
        <is>
          <t>개인</t>
        </is>
      </c>
      <c r="N62" t="inlineStr">
        <is>
          <t>일반</t>
        </is>
      </c>
      <c r="O62" t="inlineStr">
        <is>
          <t>2021-05-30</t>
        </is>
      </c>
      <c r="P62" t="inlineStr">
        <is>
          <t>경미</t>
        </is>
      </c>
      <c r="Q62" t="inlineStr">
        <is>
          <t>담당1</t>
        </is>
      </c>
      <c r="R62" t="inlineStr">
        <is>
          <t>가상 데이터 / 실분포 반영 시연용</t>
        </is>
      </c>
    </row>
    <row r="63" ht="21" customHeight="1" s="26">
      <c r="A63" t="inlineStr">
        <is>
          <t>EXA-0062</t>
        </is>
      </c>
      <c r="B63" t="inlineStr">
        <is>
          <t>삼일프라임익스체인지 062호</t>
        </is>
      </c>
      <c r="C63" t="inlineStr">
        <is>
          <t>황수현</t>
        </is>
      </c>
      <c r="D63" t="inlineStr">
        <is>
          <t>경기도</t>
        </is>
      </c>
      <c r="E63" t="inlineStr">
        <is>
          <t>부천시</t>
        </is>
      </c>
      <c r="F63" t="inlineStr">
        <is>
          <t>부천</t>
        </is>
      </c>
      <c r="G63" t="inlineStr">
        <is>
          <t>경기도 부천시 상동로 147</t>
        </is>
      </c>
      <c r="J63" t="inlineStr">
        <is>
          <t>미검증</t>
        </is>
      </c>
      <c r="K63" t="inlineStr">
        <is>
          <t>2013-11-19</t>
        </is>
      </c>
      <c r="L63" t="inlineStr">
        <is>
          <t>영업중</t>
        </is>
      </c>
      <c r="M63" t="inlineStr">
        <is>
          <t>개인</t>
        </is>
      </c>
      <c r="N63" t="inlineStr">
        <is>
          <t>주거지역</t>
        </is>
      </c>
      <c r="O63" t="inlineStr">
        <is>
          <t>2025-01-04</t>
        </is>
      </c>
      <c r="P63" t="inlineStr">
        <is>
          <t>없음</t>
        </is>
      </c>
      <c r="Q63" t="inlineStr">
        <is>
          <t>담당1</t>
        </is>
      </c>
      <c r="R63" t="inlineStr">
        <is>
          <t>가상 데이터 / 실분포 반영 시연용</t>
        </is>
      </c>
    </row>
    <row r="64" ht="21" customHeight="1" s="26">
      <c r="A64" t="inlineStr">
        <is>
          <t>EXA-0063</t>
        </is>
      </c>
      <c r="B64" t="inlineStr">
        <is>
          <t>세계외환서비스 063호</t>
        </is>
      </c>
      <c r="C64" t="inlineStr">
        <is>
          <t>김수아</t>
        </is>
      </c>
      <c r="D64" t="inlineStr">
        <is>
          <t>경기도</t>
        </is>
      </c>
      <c r="E64" t="inlineStr">
        <is>
          <t>시흥시</t>
        </is>
      </c>
      <c r="F64" t="inlineStr">
        <is>
          <t>정왕시장</t>
        </is>
      </c>
      <c r="G64" t="inlineStr">
        <is>
          <t>경기도 시흥시 정왕동 정왕대로 15-2</t>
        </is>
      </c>
      <c r="J64" t="inlineStr">
        <is>
          <t>미검증</t>
        </is>
      </c>
      <c r="K64" t="inlineStr">
        <is>
          <t>2024-03-28</t>
        </is>
      </c>
      <c r="L64" t="inlineStr">
        <is>
          <t>영업중</t>
        </is>
      </c>
      <c r="M64" t="inlineStr">
        <is>
          <t>개인</t>
        </is>
      </c>
      <c r="N64" t="inlineStr">
        <is>
          <t>일반</t>
        </is>
      </c>
      <c r="O64" t="inlineStr">
        <is>
          <t>2024-12-03</t>
        </is>
      </c>
      <c r="P64" t="inlineStr">
        <is>
          <t>없음</t>
        </is>
      </c>
      <c r="Q64" t="inlineStr">
        <is>
          <t>담당3</t>
        </is>
      </c>
      <c r="R64" t="inlineStr">
        <is>
          <t>가상 데이터 / 실분포 반영 시연용</t>
        </is>
      </c>
    </row>
    <row r="65" ht="21" customHeight="1" s="26">
      <c r="A65" t="inlineStr">
        <is>
          <t>EXA-0064</t>
        </is>
      </c>
      <c r="B65" t="inlineStr">
        <is>
          <t>신세계플러스환전 064호</t>
        </is>
      </c>
      <c r="C65" t="inlineStr">
        <is>
          <t>임예빈</t>
        </is>
      </c>
      <c r="D65" t="inlineStr">
        <is>
          <t>경기도</t>
        </is>
      </c>
      <c r="E65" t="inlineStr">
        <is>
          <t>김포시</t>
        </is>
      </c>
      <c r="F65" t="inlineStr">
        <is>
          <t>김포</t>
        </is>
      </c>
      <c r="G65" t="inlineStr">
        <is>
          <t>경기도 김포시 김포대로 69</t>
        </is>
      </c>
      <c r="J65" t="inlineStr">
        <is>
          <t>미검증</t>
        </is>
      </c>
      <c r="K65" t="inlineStr">
        <is>
          <t>2023-07-11</t>
        </is>
      </c>
      <c r="L65" t="inlineStr">
        <is>
          <t>영업중</t>
        </is>
      </c>
      <c r="M65" t="inlineStr">
        <is>
          <t>개인</t>
        </is>
      </c>
      <c r="N65" t="inlineStr">
        <is>
          <t>관광지 인접</t>
        </is>
      </c>
      <c r="O65" t="inlineStr">
        <is>
          <t>2022-11-08</t>
        </is>
      </c>
      <c r="P65" t="inlineStr">
        <is>
          <t>경미</t>
        </is>
      </c>
      <c r="Q65" t="inlineStr">
        <is>
          <t>담당3</t>
        </is>
      </c>
      <c r="R65" t="inlineStr">
        <is>
          <t>가상 데이터 / 실분포 반영 시연용</t>
        </is>
      </c>
    </row>
    <row r="66" ht="21" customHeight="1" s="26">
      <c r="A66" t="inlineStr">
        <is>
          <t>EXA-0065</t>
        </is>
      </c>
      <c r="B66" t="inlineStr">
        <is>
          <t>국제환전소 065호</t>
        </is>
      </c>
      <c r="C66" t="inlineStr">
        <is>
          <t>조하진</t>
        </is>
      </c>
      <c r="D66" t="inlineStr">
        <is>
          <t>경기도</t>
        </is>
      </c>
      <c r="E66" t="inlineStr">
        <is>
          <t>안산시</t>
        </is>
      </c>
      <c r="F66" t="inlineStr">
        <is>
          <t>원곡동</t>
        </is>
      </c>
      <c r="G66" t="inlineStr">
        <is>
          <t>경기도 안산시 단원구 원곡동 원선로 105</t>
        </is>
      </c>
      <c r="J66" t="inlineStr">
        <is>
          <t>미검증</t>
        </is>
      </c>
      <c r="K66" t="inlineStr">
        <is>
          <t>2016-05-31</t>
        </is>
      </c>
      <c r="L66" t="inlineStr">
        <is>
          <t>영업중</t>
        </is>
      </c>
      <c r="M66" t="inlineStr">
        <is>
          <t>법인</t>
        </is>
      </c>
      <c r="N66" t="inlineStr">
        <is>
          <t>일반</t>
        </is>
      </c>
      <c r="O66" t="inlineStr">
        <is>
          <t>2024-07-26</t>
        </is>
      </c>
      <c r="P66" t="inlineStr">
        <is>
          <t>없음</t>
        </is>
      </c>
      <c r="Q66" t="inlineStr">
        <is>
          <t>담당1</t>
        </is>
      </c>
      <c r="R66" t="inlineStr">
        <is>
          <t>가상 데이터 / 실분포 반영 시연용</t>
        </is>
      </c>
    </row>
    <row r="67" ht="21" customHeight="1" s="26">
      <c r="A67" t="inlineStr">
        <is>
          <t>EXA-0066</t>
        </is>
      </c>
      <c r="B67" t="inlineStr">
        <is>
          <t>글로벌플러스환전소 066호</t>
        </is>
      </c>
      <c r="C67" t="inlineStr">
        <is>
          <t>황서민</t>
        </is>
      </c>
      <c r="D67" t="inlineStr">
        <is>
          <t>인천광역시</t>
        </is>
      </c>
      <c r="E67" t="inlineStr">
        <is>
          <t>부평구</t>
        </is>
      </c>
      <c r="F67" t="inlineStr">
        <is>
          <t>부평</t>
        </is>
      </c>
      <c r="G67" t="inlineStr">
        <is>
          <t>인천광역시 부평구 부평대로 110</t>
        </is>
      </c>
      <c r="J67" t="inlineStr">
        <is>
          <t>미검증</t>
        </is>
      </c>
      <c r="K67" t="inlineStr">
        <is>
          <t>2012-12-04</t>
        </is>
      </c>
      <c r="L67" t="inlineStr">
        <is>
          <t>영업중</t>
        </is>
      </c>
      <c r="M67" t="inlineStr">
        <is>
          <t>법인</t>
        </is>
      </c>
      <c r="N67" t="inlineStr">
        <is>
          <t>일반</t>
        </is>
      </c>
      <c r="O67" t="inlineStr">
        <is>
          <t>2026-08-20</t>
        </is>
      </c>
      <c r="P67" t="inlineStr">
        <is>
          <t>없음</t>
        </is>
      </c>
      <c r="Q67" t="inlineStr">
        <is>
          <t>담당2</t>
        </is>
      </c>
      <c r="R67" t="inlineStr">
        <is>
          <t>가상 데이터 / 실분포 반영 시연용</t>
        </is>
      </c>
    </row>
    <row r="68" ht="21" customHeight="1" s="26">
      <c r="A68" t="inlineStr">
        <is>
          <t>EXA-0067</t>
        </is>
      </c>
      <c r="B68" t="inlineStr">
        <is>
          <t>한성프라임환전소 067호</t>
        </is>
      </c>
      <c r="C68" t="inlineStr">
        <is>
          <t>오도우</t>
        </is>
      </c>
      <c r="D68" t="inlineStr">
        <is>
          <t>경기도</t>
        </is>
      </c>
      <c r="E68" t="inlineStr">
        <is>
          <t>시흥시</t>
        </is>
      </c>
      <c r="F68" t="inlineStr">
        <is>
          <t>정왕시장</t>
        </is>
      </c>
      <c r="G68" t="inlineStr">
        <is>
          <t>경기도 시흥시 정왕동 함송로 34</t>
        </is>
      </c>
      <c r="J68" t="inlineStr">
        <is>
          <t>미검증</t>
        </is>
      </c>
      <c r="K68" t="inlineStr">
        <is>
          <t>2013-07-10</t>
        </is>
      </c>
      <c r="L68" t="inlineStr">
        <is>
          <t>휴업</t>
        </is>
      </c>
      <c r="M68" t="inlineStr">
        <is>
          <t>개인</t>
        </is>
      </c>
      <c r="N68" t="inlineStr">
        <is>
          <t>상업지역</t>
        </is>
      </c>
      <c r="O68" t="inlineStr">
        <is>
          <t>2026-09-18</t>
        </is>
      </c>
      <c r="P68" t="inlineStr">
        <is>
          <t>경미</t>
        </is>
      </c>
      <c r="Q68" t="inlineStr">
        <is>
          <t>담당2</t>
        </is>
      </c>
      <c r="R68" t="inlineStr">
        <is>
          <t>가상 데이터 / 실분포 반영 시연용</t>
        </is>
      </c>
    </row>
    <row r="69" ht="21" customHeight="1" s="26">
      <c r="A69" t="inlineStr">
        <is>
          <t>EXA-0068</t>
        </is>
      </c>
      <c r="B69" t="inlineStr">
        <is>
          <t>새빛플러스외환서비스 068호</t>
        </is>
      </c>
      <c r="C69" t="inlineStr">
        <is>
          <t>최서지</t>
        </is>
      </c>
      <c r="D69" t="inlineStr">
        <is>
          <t>경기도</t>
        </is>
      </c>
      <c r="E69" t="inlineStr">
        <is>
          <t>안산시</t>
        </is>
      </c>
      <c r="F69" t="inlineStr">
        <is>
          <t>원곡동</t>
        </is>
      </c>
      <c r="G69" t="inlineStr">
        <is>
          <t>경기도 안산시 단원구 원곡동 화랑로 121</t>
        </is>
      </c>
      <c r="J69" t="inlineStr">
        <is>
          <t>미검증</t>
        </is>
      </c>
      <c r="K69" t="inlineStr">
        <is>
          <t>2013-08-27</t>
        </is>
      </c>
      <c r="L69" t="inlineStr">
        <is>
          <t>영업중</t>
        </is>
      </c>
      <c r="M69" t="inlineStr">
        <is>
          <t>법인</t>
        </is>
      </c>
      <c r="N69" t="inlineStr">
        <is>
          <t>상업지역</t>
        </is>
      </c>
      <c r="O69" t="inlineStr">
        <is>
          <t>2024-07-01</t>
        </is>
      </c>
      <c r="P69" t="inlineStr">
        <is>
          <t>경미</t>
        </is>
      </c>
      <c r="Q69" t="inlineStr">
        <is>
          <t>담당3</t>
        </is>
      </c>
      <c r="R69" t="inlineStr">
        <is>
          <t>가상 데이터 / 실분포 반영 시연용</t>
        </is>
      </c>
    </row>
    <row r="70" ht="21" customHeight="1" s="26">
      <c r="A70" t="inlineStr">
        <is>
          <t>EXA-0069</t>
        </is>
      </c>
      <c r="B70" t="inlineStr">
        <is>
          <t>상록환전 069호</t>
        </is>
      </c>
      <c r="C70" t="inlineStr">
        <is>
          <t>한현아</t>
        </is>
      </c>
      <c r="D70" t="inlineStr">
        <is>
          <t>경기도</t>
        </is>
      </c>
      <c r="E70" t="inlineStr">
        <is>
          <t>김포시</t>
        </is>
      </c>
      <c r="F70" t="inlineStr">
        <is>
          <t>김포</t>
        </is>
      </c>
      <c r="G70" t="inlineStr">
        <is>
          <t>경기도 김포시 사우중로 91</t>
        </is>
      </c>
      <c r="J70" t="inlineStr">
        <is>
          <t>미검증</t>
        </is>
      </c>
      <c r="K70" t="inlineStr">
        <is>
          <t>2011-02-09</t>
        </is>
      </c>
      <c r="L70" t="inlineStr">
        <is>
          <t>영업중</t>
        </is>
      </c>
      <c r="M70" t="inlineStr">
        <is>
          <t>일반</t>
        </is>
      </c>
      <c r="N70" t="inlineStr">
        <is>
          <t>주거지역</t>
        </is>
      </c>
      <c r="O70" t="inlineStr">
        <is>
          <t>2022-07-27</t>
        </is>
      </c>
      <c r="P70" t="inlineStr">
        <is>
          <t>없음</t>
        </is>
      </c>
      <c r="Q70" t="inlineStr">
        <is>
          <t>담당3</t>
        </is>
      </c>
      <c r="R70" t="inlineStr">
        <is>
          <t>가상 데이터 / 실분포 반영 시연용</t>
        </is>
      </c>
    </row>
    <row r="71" ht="21" customHeight="1" s="26">
      <c r="A71" t="inlineStr">
        <is>
          <t>EXA-0070</t>
        </is>
      </c>
      <c r="B71" t="inlineStr">
        <is>
          <t>스마트원외환서비스 070호</t>
        </is>
      </c>
      <c r="C71" t="inlineStr">
        <is>
          <t>송민연</t>
        </is>
      </c>
      <c r="D71" t="inlineStr">
        <is>
          <t>경기도</t>
        </is>
      </c>
      <c r="E71" t="inlineStr">
        <is>
          <t>안산시</t>
        </is>
      </c>
      <c r="F71" t="inlineStr">
        <is>
          <t>원곡동</t>
        </is>
      </c>
      <c r="G71" t="inlineStr">
        <is>
          <t>경기도 안산시 단원구 원곡동 백성길 134</t>
        </is>
      </c>
      <c r="J71" t="inlineStr">
        <is>
          <t>미검증</t>
        </is>
      </c>
      <c r="K71" t="inlineStr">
        <is>
          <t>2015-03-23</t>
        </is>
      </c>
      <c r="L71" t="inlineStr">
        <is>
          <t>영업중</t>
        </is>
      </c>
      <c r="M71" t="inlineStr">
        <is>
          <t>일반</t>
        </is>
      </c>
      <c r="N71" t="inlineStr">
        <is>
          <t>상업지역</t>
        </is>
      </c>
      <c r="O71" t="inlineStr">
        <is>
          <t>2026-09-19</t>
        </is>
      </c>
      <c r="P71" t="inlineStr">
        <is>
          <t>중대</t>
        </is>
      </c>
      <c r="Q71" t="inlineStr">
        <is>
          <t>담당4</t>
        </is>
      </c>
      <c r="R71" t="inlineStr">
        <is>
          <t>가상 데이터 / 실분포 반영 시연용</t>
        </is>
      </c>
    </row>
    <row r="72" ht="21" customHeight="1" s="26">
      <c r="A72" t="inlineStr">
        <is>
          <t>EXA-0071</t>
        </is>
      </c>
      <c r="B72" t="inlineStr">
        <is>
          <t>스마트프라임환전 071호</t>
        </is>
      </c>
      <c r="C72" t="inlineStr">
        <is>
          <t>박태민</t>
        </is>
      </c>
      <c r="D72" t="inlineStr">
        <is>
          <t>경기도</t>
        </is>
      </c>
      <c r="E72" t="inlineStr">
        <is>
          <t>시흥시</t>
        </is>
      </c>
      <c r="F72" t="inlineStr">
        <is>
          <t>정왕시장</t>
        </is>
      </c>
      <c r="G72" t="inlineStr">
        <is>
          <t>경기도 시흥시 정왕동 옥구상가로 53</t>
        </is>
      </c>
      <c r="J72" t="inlineStr">
        <is>
          <t>미검증</t>
        </is>
      </c>
      <c r="K72" t="inlineStr">
        <is>
          <t>2011-09-06</t>
        </is>
      </c>
      <c r="L72" t="inlineStr">
        <is>
          <t>영업중</t>
        </is>
      </c>
      <c r="M72" t="inlineStr">
        <is>
          <t>일반</t>
        </is>
      </c>
      <c r="N72" t="inlineStr">
        <is>
          <t>일반</t>
        </is>
      </c>
      <c r="O72" t="inlineStr">
        <is>
          <t>2023-09-18</t>
        </is>
      </c>
      <c r="P72" t="inlineStr">
        <is>
          <t>경미</t>
        </is>
      </c>
      <c r="Q72" t="inlineStr">
        <is>
          <t>담당4</t>
        </is>
      </c>
      <c r="R72" t="inlineStr">
        <is>
          <t>가상 데이터 / 실분포 반영 시연용</t>
        </is>
      </c>
    </row>
    <row r="73" ht="21" customHeight="1" s="26">
      <c r="A73" t="inlineStr">
        <is>
          <t>EXA-0072</t>
        </is>
      </c>
      <c r="B73" t="inlineStr">
        <is>
          <t>국제플러스환전 072호</t>
        </is>
      </c>
      <c r="C73" t="inlineStr">
        <is>
          <t>조태호</t>
        </is>
      </c>
      <c r="D73" t="inlineStr">
        <is>
          <t>경기도</t>
        </is>
      </c>
      <c r="E73" t="inlineStr">
        <is>
          <t>시흥시</t>
        </is>
      </c>
      <c r="F73" t="inlineStr">
        <is>
          <t>정왕시장</t>
        </is>
      </c>
      <c r="G73" t="inlineStr">
        <is>
          <t>경기도 시흥시 정왕동 군서로 63</t>
        </is>
      </c>
      <c r="J73" t="inlineStr">
        <is>
          <t>미검증</t>
        </is>
      </c>
      <c r="K73" t="inlineStr">
        <is>
          <t>2023-08-19</t>
        </is>
      </c>
      <c r="L73" t="inlineStr">
        <is>
          <t>영업중</t>
        </is>
      </c>
      <c r="M73" t="inlineStr">
        <is>
          <t>개인</t>
        </is>
      </c>
      <c r="N73" t="inlineStr">
        <is>
          <t>관광지 인접</t>
        </is>
      </c>
      <c r="O73" t="inlineStr">
        <is>
          <t>2022-08-17</t>
        </is>
      </c>
      <c r="P73" t="inlineStr">
        <is>
          <t>없음</t>
        </is>
      </c>
      <c r="Q73" t="inlineStr">
        <is>
          <t>담당3</t>
        </is>
      </c>
      <c r="R73" t="inlineStr">
        <is>
          <t>가상 데이터 / 실분포 반영 시연용</t>
        </is>
      </c>
    </row>
    <row r="74" ht="21" customHeight="1" s="26">
      <c r="A74" t="inlineStr">
        <is>
          <t>EXA-0073</t>
        </is>
      </c>
      <c r="B74" t="inlineStr">
        <is>
          <t>한빛스타머니체인지 073호</t>
        </is>
      </c>
      <c r="C74" t="inlineStr">
        <is>
          <t>윤하희</t>
        </is>
      </c>
      <c r="D74" t="inlineStr">
        <is>
          <t>경기도</t>
        </is>
      </c>
      <c r="E74" t="inlineStr">
        <is>
          <t>안산시</t>
        </is>
      </c>
      <c r="F74" t="inlineStr">
        <is>
          <t>원곡동</t>
        </is>
      </c>
      <c r="G74" t="inlineStr">
        <is>
          <t>경기도 안산시 단원구 원곡동 원초로 8-3</t>
        </is>
      </c>
      <c r="J74" t="inlineStr">
        <is>
          <t>미검증</t>
        </is>
      </c>
      <c r="K74" t="inlineStr">
        <is>
          <t>2018-09-12</t>
        </is>
      </c>
      <c r="L74" t="inlineStr">
        <is>
          <t>영업중</t>
        </is>
      </c>
      <c r="M74" t="inlineStr">
        <is>
          <t>개인</t>
        </is>
      </c>
      <c r="N74" t="inlineStr">
        <is>
          <t>주거지역</t>
        </is>
      </c>
      <c r="O74" t="inlineStr">
        <is>
          <t>2025-12-19</t>
        </is>
      </c>
      <c r="P74" t="inlineStr">
        <is>
          <t>없음</t>
        </is>
      </c>
      <c r="Q74" t="inlineStr">
        <is>
          <t>담당4</t>
        </is>
      </c>
      <c r="R74" t="inlineStr">
        <is>
          <t>가상 데이터 / 실분포 반영 시연용</t>
        </is>
      </c>
    </row>
    <row r="75" ht="21" customHeight="1" s="26">
      <c r="A75" t="inlineStr">
        <is>
          <t>EXA-0074</t>
        </is>
      </c>
      <c r="B75" t="inlineStr">
        <is>
          <t>다정플러스환전 074호</t>
        </is>
      </c>
      <c r="C75" t="inlineStr">
        <is>
          <t>안태현</t>
        </is>
      </c>
      <c r="D75" t="inlineStr">
        <is>
          <t>경기도</t>
        </is>
      </c>
      <c r="E75" t="inlineStr">
        <is>
          <t>안산시</t>
        </is>
      </c>
      <c r="F75" t="inlineStr">
        <is>
          <t>원곡동</t>
        </is>
      </c>
      <c r="G75" t="inlineStr">
        <is>
          <t>경기도 안산시 단원구 원곡동 다문화길 18</t>
        </is>
      </c>
      <c r="J75" t="inlineStr">
        <is>
          <t>미검증</t>
        </is>
      </c>
      <c r="K75" t="inlineStr">
        <is>
          <t>2025-05-25</t>
        </is>
      </c>
      <c r="L75" t="inlineStr">
        <is>
          <t>영업중</t>
        </is>
      </c>
      <c r="M75" t="inlineStr">
        <is>
          <t>개인</t>
        </is>
      </c>
      <c r="N75" t="inlineStr">
        <is>
          <t>일반</t>
        </is>
      </c>
      <c r="O75" t="inlineStr">
        <is>
          <t>2023-05-06</t>
        </is>
      </c>
      <c r="P75" t="inlineStr">
        <is>
          <t>없음</t>
        </is>
      </c>
      <c r="Q75" t="inlineStr">
        <is>
          <t>담당3</t>
        </is>
      </c>
      <c r="R75" t="inlineStr">
        <is>
          <t>가상 데이터 / 실분포 반영 시연용</t>
        </is>
      </c>
    </row>
    <row r="76" ht="21" customHeight="1" s="26">
      <c r="A76" t="inlineStr">
        <is>
          <t>EXA-0075</t>
        </is>
      </c>
      <c r="B76" t="inlineStr">
        <is>
          <t>동서플러스환전 075호</t>
        </is>
      </c>
      <c r="C76" t="inlineStr">
        <is>
          <t>윤성빈</t>
        </is>
      </c>
      <c r="D76" t="inlineStr">
        <is>
          <t>경기도</t>
        </is>
      </c>
      <c r="E76" t="inlineStr">
        <is>
          <t>부천시</t>
        </is>
      </c>
      <c r="F76" t="inlineStr">
        <is>
          <t>부천</t>
        </is>
      </c>
      <c r="G76" t="inlineStr">
        <is>
          <t>경기도 부천시 부천로 51-2</t>
        </is>
      </c>
      <c r="J76" t="inlineStr">
        <is>
          <t>미검증</t>
        </is>
      </c>
      <c r="K76" t="inlineStr">
        <is>
          <t>2018-07-12</t>
        </is>
      </c>
      <c r="L76" t="inlineStr">
        <is>
          <t>영업중</t>
        </is>
      </c>
      <c r="M76" t="inlineStr">
        <is>
          <t>일반</t>
        </is>
      </c>
      <c r="N76" t="inlineStr">
        <is>
          <t>관광지 인접</t>
        </is>
      </c>
      <c r="O76" t="inlineStr">
        <is>
          <t>2026-02-10</t>
        </is>
      </c>
      <c r="P76" t="inlineStr">
        <is>
          <t>없음</t>
        </is>
      </c>
      <c r="Q76" t="inlineStr">
        <is>
          <t>담당3</t>
        </is>
      </c>
      <c r="R76" t="inlineStr">
        <is>
          <t>가상 데이터 / 실분포 반영 시연용</t>
        </is>
      </c>
    </row>
    <row r="77" ht="21" customHeight="1" s="26">
      <c r="A77" t="inlineStr">
        <is>
          <t>EXA-0076</t>
        </is>
      </c>
      <c r="B77" t="inlineStr">
        <is>
          <t>오션원환전 076호</t>
        </is>
      </c>
      <c r="C77" t="inlineStr">
        <is>
          <t>서서민</t>
        </is>
      </c>
      <c r="D77" t="inlineStr">
        <is>
          <t>경기도</t>
        </is>
      </c>
      <c r="E77" t="inlineStr">
        <is>
          <t>시흥시</t>
        </is>
      </c>
      <c r="F77" t="inlineStr">
        <is>
          <t>정왕시장</t>
        </is>
      </c>
      <c r="G77" t="inlineStr">
        <is>
          <t>경기도 시흥시 정왕동 정왕시장길 82</t>
        </is>
      </c>
      <c r="J77" t="inlineStr">
        <is>
          <t>미검증</t>
        </is>
      </c>
      <c r="K77" t="inlineStr">
        <is>
          <t>2013-03-27</t>
        </is>
      </c>
      <c r="L77" t="inlineStr">
        <is>
          <t>영업중</t>
        </is>
      </c>
      <c r="M77" t="inlineStr">
        <is>
          <t>법인</t>
        </is>
      </c>
      <c r="N77" t="inlineStr">
        <is>
          <t>주거지역</t>
        </is>
      </c>
      <c r="O77" t="inlineStr">
        <is>
          <t>2021-07-19</t>
        </is>
      </c>
      <c r="P77" t="inlineStr">
        <is>
          <t>경미</t>
        </is>
      </c>
      <c r="Q77" t="inlineStr">
        <is>
          <t>담당2</t>
        </is>
      </c>
      <c r="R77" t="inlineStr">
        <is>
          <t>가상 데이터 / 실분포 반영 시연용</t>
        </is>
      </c>
    </row>
    <row r="78" ht="21" customHeight="1" s="26">
      <c r="A78" t="inlineStr">
        <is>
          <t>EXA-0077</t>
        </is>
      </c>
      <c r="B78" t="inlineStr">
        <is>
          <t>삼일플러스환전 077호</t>
        </is>
      </c>
      <c r="C78" t="inlineStr">
        <is>
          <t>조예준</t>
        </is>
      </c>
      <c r="D78" t="inlineStr">
        <is>
          <t>경기도</t>
        </is>
      </c>
      <c r="E78" t="inlineStr">
        <is>
          <t>시흥시</t>
        </is>
      </c>
      <c r="F78" t="inlineStr">
        <is>
          <t>정왕시장</t>
        </is>
      </c>
      <c r="G78" t="inlineStr">
        <is>
          <t>경기도 시흥시 정왕동 중심상가로 92-7</t>
        </is>
      </c>
      <c r="J78" t="inlineStr">
        <is>
          <t>미검증</t>
        </is>
      </c>
      <c r="K78" t="inlineStr">
        <is>
          <t>2017-02-15</t>
        </is>
      </c>
      <c r="L78" t="inlineStr">
        <is>
          <t>영업중</t>
        </is>
      </c>
      <c r="M78" t="inlineStr">
        <is>
          <t>개인</t>
        </is>
      </c>
      <c r="N78" t="inlineStr">
        <is>
          <t>상업지역</t>
        </is>
      </c>
      <c r="O78" t="inlineStr">
        <is>
          <t>2024-11-05</t>
        </is>
      </c>
      <c r="P78" t="inlineStr">
        <is>
          <t>없음</t>
        </is>
      </c>
      <c r="Q78" t="inlineStr">
        <is>
          <t>담당1</t>
        </is>
      </c>
      <c r="R78" t="inlineStr">
        <is>
          <t>가상 데이터 / 실분포 반영 시연용</t>
        </is>
      </c>
    </row>
    <row r="79" ht="21" customHeight="1" s="26">
      <c r="A79" t="inlineStr">
        <is>
          <t>EXA-0078</t>
        </is>
      </c>
      <c r="B79" t="inlineStr">
        <is>
          <t>스마트플러스익스체인지 078호</t>
        </is>
      </c>
      <c r="C79" t="inlineStr">
        <is>
          <t>이성준</t>
        </is>
      </c>
      <c r="D79" t="inlineStr">
        <is>
          <t>경기도</t>
        </is>
      </c>
      <c r="E79" t="inlineStr">
        <is>
          <t>김포시</t>
        </is>
      </c>
      <c r="F79" t="inlineStr">
        <is>
          <t>김포</t>
        </is>
      </c>
      <c r="G79" t="inlineStr">
        <is>
          <t>경기도 김포시 풍무로 125</t>
        </is>
      </c>
      <c r="J79" t="inlineStr">
        <is>
          <t>미검증</t>
        </is>
      </c>
      <c r="K79" t="inlineStr">
        <is>
          <t>2014-02-17</t>
        </is>
      </c>
      <c r="L79" t="inlineStr">
        <is>
          <t>휴업</t>
        </is>
      </c>
      <c r="M79" t="inlineStr">
        <is>
          <t>법인</t>
        </is>
      </c>
      <c r="N79" t="inlineStr">
        <is>
          <t>일반</t>
        </is>
      </c>
      <c r="O79" t="inlineStr">
        <is>
          <t>2024-03-07</t>
        </is>
      </c>
      <c r="P79" t="inlineStr">
        <is>
          <t>없음</t>
        </is>
      </c>
      <c r="Q79" t="inlineStr">
        <is>
          <t>담당3</t>
        </is>
      </c>
      <c r="R79" t="inlineStr">
        <is>
          <t>가상 데이터 / 실분포 반영 시연용</t>
        </is>
      </c>
    </row>
    <row r="80" ht="21" customHeight="1" s="26">
      <c r="A80" t="inlineStr">
        <is>
          <t>EXA-0079</t>
        </is>
      </c>
      <c r="B80" t="inlineStr">
        <is>
          <t>중앙원익스체인지 079호</t>
        </is>
      </c>
      <c r="C80" t="inlineStr">
        <is>
          <t>조하진</t>
        </is>
      </c>
      <c r="D80" t="inlineStr">
        <is>
          <t>경기도</t>
        </is>
      </c>
      <c r="E80" t="inlineStr">
        <is>
          <t>안산시</t>
        </is>
      </c>
      <c r="F80" t="inlineStr">
        <is>
          <t>원곡동</t>
        </is>
      </c>
      <c r="G80" t="inlineStr">
        <is>
          <t>경기도 안산시 단원구 원곡동 원곡로 40</t>
        </is>
      </c>
      <c r="J80" t="inlineStr">
        <is>
          <t>미검증</t>
        </is>
      </c>
      <c r="K80" t="inlineStr">
        <is>
          <t>2016-01-07</t>
        </is>
      </c>
      <c r="L80" t="inlineStr">
        <is>
          <t>영업중</t>
        </is>
      </c>
      <c r="M80" t="inlineStr">
        <is>
          <t>법인</t>
        </is>
      </c>
      <c r="N80" t="inlineStr">
        <is>
          <t>관광지 인접</t>
        </is>
      </c>
      <c r="O80" t="inlineStr">
        <is>
          <t>2025-09-02</t>
        </is>
      </c>
      <c r="P80" t="inlineStr">
        <is>
          <t>없음</t>
        </is>
      </c>
      <c r="Q80" t="inlineStr">
        <is>
          <t>담당4</t>
        </is>
      </c>
      <c r="R80" t="inlineStr">
        <is>
          <t>가상 데이터 / 실분포 반영 시연용</t>
        </is>
      </c>
    </row>
    <row r="81" ht="21" customHeight="1" s="26">
      <c r="A81" t="inlineStr">
        <is>
          <t>EXA-0080</t>
        </is>
      </c>
      <c r="B81" t="inlineStr">
        <is>
          <t>안산스타외환서비스 080호</t>
        </is>
      </c>
      <c r="C81" t="inlineStr">
        <is>
          <t>강영진</t>
        </is>
      </c>
      <c r="D81" t="inlineStr">
        <is>
          <t>경기도</t>
        </is>
      </c>
      <c r="E81" t="inlineStr">
        <is>
          <t>부천시</t>
        </is>
      </c>
      <c r="F81" t="inlineStr">
        <is>
          <t>부천</t>
        </is>
      </c>
      <c r="G81" t="inlineStr">
        <is>
          <t>경기도 부천시 중동로 73</t>
        </is>
      </c>
      <c r="J81" t="inlineStr">
        <is>
          <t>미검증</t>
        </is>
      </c>
      <c r="K81" t="inlineStr">
        <is>
          <t>2011-07-25</t>
        </is>
      </c>
      <c r="L81" t="inlineStr">
        <is>
          <t>영업중</t>
        </is>
      </c>
      <c r="M81" t="inlineStr">
        <is>
          <t>개인</t>
        </is>
      </c>
      <c r="N81" t="inlineStr">
        <is>
          <t>상업지역</t>
        </is>
      </c>
      <c r="O81" t="inlineStr">
        <is>
          <t>2021-11-03</t>
        </is>
      </c>
      <c r="P81" t="inlineStr">
        <is>
          <t>없음</t>
        </is>
      </c>
      <c r="Q81" t="inlineStr">
        <is>
          <t>담당3</t>
        </is>
      </c>
      <c r="R81" t="inlineStr">
        <is>
          <t>가상 데이터 / 실분포 반영 시연용</t>
        </is>
      </c>
    </row>
    <row r="82" ht="21" customHeight="1" s="26">
      <c r="A82" t="inlineStr">
        <is>
          <t>EXA-0081</t>
        </is>
      </c>
      <c r="B82" t="inlineStr">
        <is>
          <t>한마음플러스익스체인지 081호</t>
        </is>
      </c>
      <c r="C82" t="inlineStr">
        <is>
          <t>신도지</t>
        </is>
      </c>
      <c r="D82" t="inlineStr">
        <is>
          <t>경기도</t>
        </is>
      </c>
      <c r="E82" t="inlineStr">
        <is>
          <t>시흥시</t>
        </is>
      </c>
      <c r="F82" t="inlineStr">
        <is>
          <t>정왕시장</t>
        </is>
      </c>
      <c r="G82" t="inlineStr">
        <is>
          <t>경기도 시흥시 정왕동 정왕대로 111</t>
        </is>
      </c>
      <c r="J82" t="inlineStr">
        <is>
          <t>미검증</t>
        </is>
      </c>
      <c r="K82" t="inlineStr">
        <is>
          <t>2024-06-22</t>
        </is>
      </c>
      <c r="L82" t="inlineStr">
        <is>
          <t>휴업</t>
        </is>
      </c>
      <c r="M82" t="inlineStr">
        <is>
          <t>일반</t>
        </is>
      </c>
      <c r="N82" t="inlineStr">
        <is>
          <t>관광지 인접</t>
        </is>
      </c>
      <c r="O82" t="inlineStr">
        <is>
          <t>2023-08-28</t>
        </is>
      </c>
      <c r="P82" t="inlineStr">
        <is>
          <t>없음</t>
        </is>
      </c>
      <c r="Q82" t="inlineStr">
        <is>
          <t>담당2</t>
        </is>
      </c>
      <c r="R82" t="inlineStr">
        <is>
          <t>가상 데이터 / 실분포 반영 시연용</t>
        </is>
      </c>
    </row>
    <row r="83" ht="21" customHeight="1" s="26">
      <c r="A83" t="inlineStr">
        <is>
          <t>EXA-0082</t>
        </is>
      </c>
      <c r="B83" t="inlineStr">
        <is>
          <t>단원환전소 082호</t>
        </is>
      </c>
      <c r="C83" t="inlineStr">
        <is>
          <t>황예호</t>
        </is>
      </c>
      <c r="D83" t="inlineStr">
        <is>
          <t>경기도</t>
        </is>
      </c>
      <c r="E83" t="inlineStr">
        <is>
          <t>시흥시</t>
        </is>
      </c>
      <c r="F83" t="inlineStr">
        <is>
          <t>정왕시장</t>
        </is>
      </c>
      <c r="G83" t="inlineStr">
        <is>
          <t>경기도 시흥시 정왕동 함송로 121</t>
        </is>
      </c>
      <c r="J83" t="inlineStr">
        <is>
          <t>미검증</t>
        </is>
      </c>
      <c r="K83" t="inlineStr">
        <is>
          <t>2020-09-11</t>
        </is>
      </c>
      <c r="L83" t="inlineStr">
        <is>
          <t>폐업</t>
        </is>
      </c>
      <c r="M83" t="inlineStr">
        <is>
          <t>일반</t>
        </is>
      </c>
      <c r="N83" t="inlineStr">
        <is>
          <t>주거지역</t>
        </is>
      </c>
      <c r="O83" t="inlineStr">
        <is>
          <t>2024-08-27</t>
        </is>
      </c>
      <c r="P83" t="inlineStr">
        <is>
          <t>없음</t>
        </is>
      </c>
      <c r="Q83" t="inlineStr">
        <is>
          <t>담당2</t>
        </is>
      </c>
      <c r="R83" t="inlineStr">
        <is>
          <t>가상 데이터 / 실분포 반영 시연용</t>
        </is>
      </c>
    </row>
    <row r="84" ht="21" customHeight="1" s="26">
      <c r="A84" t="inlineStr">
        <is>
          <t>EXA-0083</t>
        </is>
      </c>
      <c r="B84" t="inlineStr">
        <is>
          <t>우리스타외환서비스 083호</t>
        </is>
      </c>
      <c r="C84" t="inlineStr">
        <is>
          <t>황예민</t>
        </is>
      </c>
      <c r="D84" t="inlineStr">
        <is>
          <t>경기도</t>
        </is>
      </c>
      <c r="E84" t="inlineStr">
        <is>
          <t>부천시</t>
        </is>
      </c>
      <c r="F84" t="inlineStr">
        <is>
          <t>부천</t>
        </is>
      </c>
      <c r="G84" t="inlineStr">
        <is>
          <t>경기도 부천시 길주로 89</t>
        </is>
      </c>
      <c r="J84" t="inlineStr">
        <is>
          <t>미검증</t>
        </is>
      </c>
      <c r="K84" t="inlineStr">
        <is>
          <t>2017-12-08</t>
        </is>
      </c>
      <c r="L84" t="inlineStr">
        <is>
          <t>영업중</t>
        </is>
      </c>
      <c r="M84" t="inlineStr">
        <is>
          <t>일반</t>
        </is>
      </c>
      <c r="N84" t="inlineStr">
        <is>
          <t>상업지역</t>
        </is>
      </c>
      <c r="O84" t="inlineStr">
        <is>
          <t>2021-09-03</t>
        </is>
      </c>
      <c r="P84" t="inlineStr">
        <is>
          <t>없음</t>
        </is>
      </c>
      <c r="Q84" t="inlineStr">
        <is>
          <t>담당2</t>
        </is>
      </c>
      <c r="R84" t="inlineStr">
        <is>
          <t>가상 데이터 / 실분포 반영 시연용</t>
        </is>
      </c>
    </row>
    <row r="85" ht="21" customHeight="1" s="26">
      <c r="A85" t="inlineStr">
        <is>
          <t>EXA-0084</t>
        </is>
      </c>
      <c r="B85" t="inlineStr">
        <is>
          <t>푸른플러스환전소 084호</t>
        </is>
      </c>
      <c r="C85" t="inlineStr">
        <is>
          <t>박영민</t>
        </is>
      </c>
      <c r="D85" t="inlineStr">
        <is>
          <t>경기도</t>
        </is>
      </c>
      <c r="E85" t="inlineStr">
        <is>
          <t>부천시</t>
        </is>
      </c>
      <c r="F85" t="inlineStr">
        <is>
          <t>부천</t>
        </is>
      </c>
      <c r="G85" t="inlineStr">
        <is>
          <t>경기도 부천시 신흥로 99</t>
        </is>
      </c>
      <c r="J85" t="inlineStr">
        <is>
          <t>미검증</t>
        </is>
      </c>
      <c r="K85" t="inlineStr">
        <is>
          <t>2012-06-10</t>
        </is>
      </c>
      <c r="L85" t="inlineStr">
        <is>
          <t>폐업</t>
        </is>
      </c>
      <c r="M85" t="inlineStr">
        <is>
          <t>일반</t>
        </is>
      </c>
      <c r="N85" t="inlineStr">
        <is>
          <t>관광지 인접</t>
        </is>
      </c>
      <c r="O85" t="inlineStr">
        <is>
          <t>2024-05-04</t>
        </is>
      </c>
      <c r="P85" t="inlineStr">
        <is>
          <t>경미</t>
        </is>
      </c>
      <c r="Q85" t="inlineStr">
        <is>
          <t>담당4</t>
        </is>
      </c>
      <c r="R85" t="inlineStr">
        <is>
          <t>가상 데이터 / 실분포 반영 시연용</t>
        </is>
      </c>
    </row>
    <row r="86" ht="21" customHeight="1" s="26">
      <c r="A86" t="inlineStr">
        <is>
          <t>EXA-0085</t>
        </is>
      </c>
      <c r="B86" t="inlineStr">
        <is>
          <t>신세계머니체인지 085호</t>
        </is>
      </c>
      <c r="C86" t="inlineStr">
        <is>
          <t>윤영연</t>
        </is>
      </c>
      <c r="D86" t="inlineStr">
        <is>
          <t>인천광역시</t>
        </is>
      </c>
      <c r="E86" t="inlineStr">
        <is>
          <t>부평구</t>
        </is>
      </c>
      <c r="F86" t="inlineStr">
        <is>
          <t>부평</t>
        </is>
      </c>
      <c r="G86" t="inlineStr">
        <is>
          <t>인천광역시 부평구 경원대로 32</t>
        </is>
      </c>
      <c r="J86" t="inlineStr">
        <is>
          <t>미검증</t>
        </is>
      </c>
      <c r="K86" t="inlineStr">
        <is>
          <t>2019-01-05</t>
        </is>
      </c>
      <c r="L86" t="inlineStr">
        <is>
          <t>영업중</t>
        </is>
      </c>
      <c r="M86" t="inlineStr">
        <is>
          <t>개인</t>
        </is>
      </c>
      <c r="N86" t="inlineStr">
        <is>
          <t>주거지역</t>
        </is>
      </c>
      <c r="O86" t="inlineStr">
        <is>
          <t>2022-07-31</t>
        </is>
      </c>
      <c r="P86" t="inlineStr">
        <is>
          <t>없음</t>
        </is>
      </c>
      <c r="Q86" t="inlineStr">
        <is>
          <t>담당2</t>
        </is>
      </c>
      <c r="R86" t="inlineStr">
        <is>
          <t>가상 데이터 / 실분포 반영 시연용</t>
        </is>
      </c>
    </row>
    <row r="87" ht="21" customHeight="1" s="26">
      <c r="A87" t="inlineStr">
        <is>
          <t>EXA-0086</t>
        </is>
      </c>
      <c r="B87" t="inlineStr">
        <is>
          <t>세계스타외환서비스 086호</t>
        </is>
      </c>
      <c r="C87" t="inlineStr">
        <is>
          <t>이태준</t>
        </is>
      </c>
      <c r="D87" t="inlineStr">
        <is>
          <t>경기도</t>
        </is>
      </c>
      <c r="E87" t="inlineStr">
        <is>
          <t>부천시</t>
        </is>
      </c>
      <c r="F87" t="inlineStr">
        <is>
          <t>부천</t>
        </is>
      </c>
      <c r="G87" t="inlineStr">
        <is>
          <t>경기도 부천시 부일로 112</t>
        </is>
      </c>
      <c r="J87" t="inlineStr">
        <is>
          <t>미검증</t>
        </is>
      </c>
      <c r="K87" t="inlineStr">
        <is>
          <t>2023-05-06</t>
        </is>
      </c>
      <c r="L87" t="inlineStr">
        <is>
          <t>영업중</t>
        </is>
      </c>
      <c r="M87" t="inlineStr">
        <is>
          <t>개인</t>
        </is>
      </c>
      <c r="N87" t="inlineStr">
        <is>
          <t>주거지역</t>
        </is>
      </c>
      <c r="O87" t="inlineStr">
        <is>
          <t>2022-04-24</t>
        </is>
      </c>
      <c r="P87" t="inlineStr">
        <is>
          <t>없음</t>
        </is>
      </c>
      <c r="Q87" t="inlineStr">
        <is>
          <t>담당3</t>
        </is>
      </c>
      <c r="R87" t="inlineStr">
        <is>
          <t>가상 데이터 / 실분포 반영 시연용</t>
        </is>
      </c>
    </row>
    <row r="88" ht="21" customHeight="1" s="26">
      <c r="A88" t="inlineStr">
        <is>
          <t>EXA-0087</t>
        </is>
      </c>
      <c r="B88" t="inlineStr">
        <is>
          <t>상록원외환서비스 087호</t>
        </is>
      </c>
      <c r="C88" t="inlineStr">
        <is>
          <t>이성진</t>
        </is>
      </c>
      <c r="D88" t="inlineStr">
        <is>
          <t>경기도</t>
        </is>
      </c>
      <c r="E88" t="inlineStr">
        <is>
          <t>시흥시</t>
        </is>
      </c>
      <c r="F88" t="inlineStr">
        <is>
          <t>정왕시장</t>
        </is>
      </c>
      <c r="G88" t="inlineStr">
        <is>
          <t>경기도 시흥시 정왕동 옥구상가로 143</t>
        </is>
      </c>
      <c r="J88" t="inlineStr">
        <is>
          <t>미검증</t>
        </is>
      </c>
      <c r="K88" t="inlineStr">
        <is>
          <t>2013-10-13</t>
        </is>
      </c>
      <c r="L88" t="inlineStr">
        <is>
          <t>영업중</t>
        </is>
      </c>
      <c r="M88" t="inlineStr">
        <is>
          <t>법인</t>
        </is>
      </c>
      <c r="N88" t="inlineStr">
        <is>
          <t>상업지역</t>
        </is>
      </c>
      <c r="O88" t="inlineStr">
        <is>
          <t>2024-02-23</t>
        </is>
      </c>
      <c r="P88" t="inlineStr">
        <is>
          <t>중대</t>
        </is>
      </c>
      <c r="Q88" t="inlineStr">
        <is>
          <t>담당2</t>
        </is>
      </c>
      <c r="R88" t="inlineStr">
        <is>
          <t>가상 데이터 / 실분포 반영 시연용</t>
        </is>
      </c>
    </row>
    <row r="89" ht="21" customHeight="1" s="26">
      <c r="A89" t="inlineStr">
        <is>
          <t>EXA-0088</t>
        </is>
      </c>
      <c r="B89" t="inlineStr">
        <is>
          <t>신세계환전소 088호</t>
        </is>
      </c>
      <c r="C89" t="inlineStr">
        <is>
          <t>이민연</t>
        </is>
      </c>
      <c r="D89" t="inlineStr">
        <is>
          <t>경기도</t>
        </is>
      </c>
      <c r="E89" t="inlineStr">
        <is>
          <t>안산시</t>
        </is>
      </c>
      <c r="F89" t="inlineStr">
        <is>
          <t>원곡동</t>
        </is>
      </c>
      <c r="G89" t="inlineStr">
        <is>
          <t>경기도 안산시 단원구 원곡동 원선로 74</t>
        </is>
      </c>
      <c r="J89" t="inlineStr">
        <is>
          <t>미검증</t>
        </is>
      </c>
      <c r="K89" t="inlineStr">
        <is>
          <t>2017-05-13</t>
        </is>
      </c>
      <c r="L89" t="inlineStr">
        <is>
          <t>영업중</t>
        </is>
      </c>
      <c r="M89" t="inlineStr">
        <is>
          <t>법인</t>
        </is>
      </c>
      <c r="N89" t="inlineStr">
        <is>
          <t>주거지역</t>
        </is>
      </c>
      <c r="O89" t="inlineStr">
        <is>
          <t>2021-12-17</t>
        </is>
      </c>
      <c r="P89" t="inlineStr">
        <is>
          <t>없음</t>
        </is>
      </c>
      <c r="Q89" t="inlineStr">
        <is>
          <t>담당3</t>
        </is>
      </c>
      <c r="R89" t="inlineStr">
        <is>
          <t>가상 데이터 / 실분포 반영 시연용</t>
        </is>
      </c>
    </row>
    <row r="90" ht="21" customHeight="1" s="26">
      <c r="A90" t="inlineStr">
        <is>
          <t>EXA-0089</t>
        </is>
      </c>
      <c r="B90" t="inlineStr">
        <is>
          <t>동행원머니체인지 089호</t>
        </is>
      </c>
      <c r="C90" t="inlineStr">
        <is>
          <t>오민민</t>
        </is>
      </c>
      <c r="D90" t="inlineStr">
        <is>
          <t>경기도</t>
        </is>
      </c>
      <c r="E90" t="inlineStr">
        <is>
          <t>부천시</t>
        </is>
      </c>
      <c r="F90" t="inlineStr">
        <is>
          <t>부천</t>
        </is>
      </c>
      <c r="G90" t="inlineStr">
        <is>
          <t>경기도 부천시 석천로 128-7</t>
        </is>
      </c>
      <c r="J90" t="inlineStr">
        <is>
          <t>미검증</t>
        </is>
      </c>
      <c r="K90" t="inlineStr">
        <is>
          <t>2023-09-25</t>
        </is>
      </c>
      <c r="L90" t="inlineStr">
        <is>
          <t>영업중</t>
        </is>
      </c>
      <c r="M90" t="inlineStr">
        <is>
          <t>개인</t>
        </is>
      </c>
      <c r="N90" t="inlineStr">
        <is>
          <t>주거지역</t>
        </is>
      </c>
      <c r="O90" t="inlineStr">
        <is>
          <t>2025-09-27</t>
        </is>
      </c>
      <c r="P90" t="inlineStr">
        <is>
          <t>없음</t>
        </is>
      </c>
      <c r="Q90" t="inlineStr">
        <is>
          <t>담당2</t>
        </is>
      </c>
      <c r="R90" t="inlineStr">
        <is>
          <t>가상 데이터 / 실분포 반영 시연용</t>
        </is>
      </c>
    </row>
    <row r="91" ht="21" customHeight="1" s="26">
      <c r="A91" t="inlineStr">
        <is>
          <t>EXA-0090</t>
        </is>
      </c>
      <c r="B91" t="inlineStr">
        <is>
          <t>글로벌스타익스체인지 090호</t>
        </is>
      </c>
      <c r="C91" t="inlineStr">
        <is>
          <t>황수연</t>
        </is>
      </c>
      <c r="D91" t="inlineStr">
        <is>
          <t>인천광역시</t>
        </is>
      </c>
      <c r="E91" t="inlineStr">
        <is>
          <t>부평구</t>
        </is>
      </c>
      <c r="F91" t="inlineStr">
        <is>
          <t>부평</t>
        </is>
      </c>
      <c r="G91" t="inlineStr">
        <is>
          <t>인천광역시 부평구 시장로 54</t>
        </is>
      </c>
      <c r="J91" t="inlineStr">
        <is>
          <t>미검증</t>
        </is>
      </c>
      <c r="K91" t="inlineStr">
        <is>
          <t>2025-01-20</t>
        </is>
      </c>
      <c r="L91" t="inlineStr">
        <is>
          <t>영업중</t>
        </is>
      </c>
      <c r="M91" t="inlineStr">
        <is>
          <t>일반</t>
        </is>
      </c>
      <c r="N91" t="inlineStr">
        <is>
          <t>주거지역</t>
        </is>
      </c>
      <c r="O91" t="inlineStr">
        <is>
          <t>2024-03-16</t>
        </is>
      </c>
      <c r="P91" t="inlineStr">
        <is>
          <t>중대</t>
        </is>
      </c>
      <c r="Q91" t="inlineStr">
        <is>
          <t>담당1</t>
        </is>
      </c>
      <c r="R91" t="inlineStr">
        <is>
          <t>가상 데이터 / 실분포 반영 시연용</t>
        </is>
      </c>
    </row>
    <row r="92" ht="21" customHeight="1" s="26">
      <c r="A92" t="inlineStr">
        <is>
          <t>EXA-0091</t>
        </is>
      </c>
      <c r="B92" t="inlineStr">
        <is>
          <t>나래프라임환전 091호</t>
        </is>
      </c>
      <c r="C92" t="inlineStr">
        <is>
          <t>권지호</t>
        </is>
      </c>
      <c r="D92" t="inlineStr">
        <is>
          <t>경기도</t>
        </is>
      </c>
      <c r="E92" t="inlineStr">
        <is>
          <t>안산시</t>
        </is>
      </c>
      <c r="F92" t="inlineStr">
        <is>
          <t>원곡동</t>
        </is>
      </c>
      <c r="G92" t="inlineStr">
        <is>
          <t>경기도 안산시 단원구 원곡동 화랑로 90</t>
        </is>
      </c>
      <c r="J92" t="inlineStr">
        <is>
          <t>미검증</t>
        </is>
      </c>
      <c r="K92" t="inlineStr">
        <is>
          <t>2020-06-20</t>
        </is>
      </c>
      <c r="L92" t="inlineStr">
        <is>
          <t>영업중</t>
        </is>
      </c>
      <c r="M92" t="inlineStr">
        <is>
          <t>일반</t>
        </is>
      </c>
      <c r="N92" t="inlineStr">
        <is>
          <t>일반</t>
        </is>
      </c>
      <c r="O92" t="inlineStr">
        <is>
          <t>2022-04-15</t>
        </is>
      </c>
      <c r="P92" t="inlineStr">
        <is>
          <t>없음</t>
        </is>
      </c>
      <c r="Q92" t="inlineStr">
        <is>
          <t>담당1</t>
        </is>
      </c>
      <c r="R92" t="inlineStr">
        <is>
          <t>가상 데이터 / 실분포 반영 시연용</t>
        </is>
      </c>
    </row>
    <row r="93" ht="21" customHeight="1" s="26">
      <c r="A93" t="inlineStr">
        <is>
          <t>EXA-0092</t>
        </is>
      </c>
      <c r="B93" t="inlineStr">
        <is>
          <t>스마트스타외환서비스 092호</t>
        </is>
      </c>
      <c r="C93" t="inlineStr">
        <is>
          <t>류준빈</t>
        </is>
      </c>
      <c r="D93" t="inlineStr">
        <is>
          <t>경기도</t>
        </is>
      </c>
      <c r="E93" t="inlineStr">
        <is>
          <t>부천시</t>
        </is>
      </c>
      <c r="F93" t="inlineStr">
        <is>
          <t>부천</t>
        </is>
      </c>
      <c r="G93" t="inlineStr">
        <is>
          <t>경기도 부천시 상동로 144</t>
        </is>
      </c>
      <c r="J93" t="inlineStr">
        <is>
          <t>미검증</t>
        </is>
      </c>
      <c r="K93" t="inlineStr">
        <is>
          <t>2019-09-13</t>
        </is>
      </c>
      <c r="L93" t="inlineStr">
        <is>
          <t>영업중</t>
        </is>
      </c>
      <c r="M93" t="inlineStr">
        <is>
          <t>법인</t>
        </is>
      </c>
      <c r="N93" t="inlineStr">
        <is>
          <t>상업지역</t>
        </is>
      </c>
      <c r="O93" t="inlineStr">
        <is>
          <t>2023-02-21</t>
        </is>
      </c>
      <c r="P93" t="inlineStr">
        <is>
          <t>없음</t>
        </is>
      </c>
      <c r="Q93" t="inlineStr">
        <is>
          <t>담당4</t>
        </is>
      </c>
      <c r="R93" t="inlineStr">
        <is>
          <t>가상 데이터 / 실분포 반영 시연용</t>
        </is>
      </c>
    </row>
    <row r="94" ht="21" customHeight="1" s="26">
      <c r="A94" t="inlineStr">
        <is>
          <t>EXA-0093</t>
        </is>
      </c>
      <c r="B94" t="inlineStr">
        <is>
          <t>우리프라임익스체인지 093호</t>
        </is>
      </c>
      <c r="C94" t="inlineStr">
        <is>
          <t>김수아</t>
        </is>
      </c>
      <c r="D94" t="inlineStr">
        <is>
          <t>경기도</t>
        </is>
      </c>
      <c r="E94" t="inlineStr">
        <is>
          <t>안산시</t>
        </is>
      </c>
      <c r="F94" t="inlineStr">
        <is>
          <t>원곡동</t>
        </is>
      </c>
      <c r="G94" t="inlineStr">
        <is>
          <t>경기도 안산시 단원구 원곡동 백성길 103-1</t>
        </is>
      </c>
      <c r="J94" t="inlineStr">
        <is>
          <t>미검증</t>
        </is>
      </c>
      <c r="K94" t="inlineStr">
        <is>
          <t>2022-08-10</t>
        </is>
      </c>
      <c r="L94" t="inlineStr">
        <is>
          <t>영업중</t>
        </is>
      </c>
      <c r="M94" t="inlineStr">
        <is>
          <t>개인</t>
        </is>
      </c>
      <c r="N94" t="inlineStr">
        <is>
          <t>상업지역</t>
        </is>
      </c>
      <c r="O94" t="inlineStr">
        <is>
          <t>2025-02-10</t>
        </is>
      </c>
      <c r="P94" t="inlineStr">
        <is>
          <t>없음</t>
        </is>
      </c>
      <c r="Q94" t="inlineStr">
        <is>
          <t>담당4</t>
        </is>
      </c>
      <c r="R94" t="inlineStr">
        <is>
          <t>가상 데이터 / 실분포 반영 시연용</t>
        </is>
      </c>
    </row>
    <row r="95" ht="21" customHeight="1" s="26">
      <c r="A95" t="inlineStr">
        <is>
          <t>EXA-0094</t>
        </is>
      </c>
      <c r="B95" t="inlineStr">
        <is>
          <t>이음플러스익스체인지 094호</t>
        </is>
      </c>
      <c r="C95" t="inlineStr">
        <is>
          <t>류태빈</t>
        </is>
      </c>
      <c r="D95" t="inlineStr">
        <is>
          <t>경기도</t>
        </is>
      </c>
      <c r="E95" t="inlineStr">
        <is>
          <t>안산시</t>
        </is>
      </c>
      <c r="F95" t="inlineStr">
        <is>
          <t>원곡동</t>
        </is>
      </c>
      <c r="G95" t="inlineStr">
        <is>
          <t>경기도 안산시 단원구 원곡동 원초로 113</t>
        </is>
      </c>
      <c r="J95" t="inlineStr">
        <is>
          <t>미검증</t>
        </is>
      </c>
      <c r="K95" t="inlineStr">
        <is>
          <t>2013-04-16</t>
        </is>
      </c>
      <c r="L95" t="inlineStr">
        <is>
          <t>영업중</t>
        </is>
      </c>
      <c r="M95" t="inlineStr">
        <is>
          <t>일반</t>
        </is>
      </c>
      <c r="N95" t="inlineStr">
        <is>
          <t>주거지역</t>
        </is>
      </c>
      <c r="O95" t="inlineStr">
        <is>
          <t>2021-05-02</t>
        </is>
      </c>
      <c r="P95" t="inlineStr">
        <is>
          <t>없음</t>
        </is>
      </c>
      <c r="Q95" t="inlineStr">
        <is>
          <t>담당3</t>
        </is>
      </c>
      <c r="R95" t="inlineStr">
        <is>
          <t>가상 데이터 / 실분포 반영 시연용</t>
        </is>
      </c>
    </row>
    <row r="96" ht="21" customHeight="1" s="26">
      <c r="A96" t="inlineStr">
        <is>
          <t>EXA-0095</t>
        </is>
      </c>
      <c r="B96" t="inlineStr">
        <is>
          <t>한빛스타환전 095호</t>
        </is>
      </c>
      <c r="C96" t="inlineStr">
        <is>
          <t>안지지</t>
        </is>
      </c>
      <c r="D96" t="inlineStr">
        <is>
          <t>경기도</t>
        </is>
      </c>
      <c r="E96" t="inlineStr">
        <is>
          <t>부천시</t>
        </is>
      </c>
      <c r="F96" t="inlineStr">
        <is>
          <t>부천</t>
        </is>
      </c>
      <c r="G96" t="inlineStr">
        <is>
          <t>경기도 부천시 부천로 18</t>
        </is>
      </c>
      <c r="J96" t="inlineStr">
        <is>
          <t>미검증</t>
        </is>
      </c>
      <c r="K96" t="inlineStr">
        <is>
          <t>2024-07-15</t>
        </is>
      </c>
      <c r="L96" t="inlineStr">
        <is>
          <t>영업중</t>
        </is>
      </c>
      <c r="M96" t="inlineStr">
        <is>
          <t>법인</t>
        </is>
      </c>
      <c r="N96" t="inlineStr">
        <is>
          <t>관광지 인접</t>
        </is>
      </c>
      <c r="O96" t="inlineStr">
        <is>
          <t>2024-09-17</t>
        </is>
      </c>
      <c r="P96" t="inlineStr">
        <is>
          <t>없음</t>
        </is>
      </c>
      <c r="Q96" t="inlineStr">
        <is>
          <t>담당3</t>
        </is>
      </c>
      <c r="R96" t="inlineStr">
        <is>
          <t>가상 데이터 / 실분포 반영 시연용</t>
        </is>
      </c>
    </row>
    <row r="97" ht="21" customHeight="1" s="26">
      <c r="A97" t="inlineStr">
        <is>
          <t>EXA-0096</t>
        </is>
      </c>
      <c r="B97" t="inlineStr">
        <is>
          <t>단원플러스환전소 096호</t>
        </is>
      </c>
      <c r="C97" t="inlineStr">
        <is>
          <t>이성아</t>
        </is>
      </c>
      <c r="D97" t="inlineStr">
        <is>
          <t>경기도</t>
        </is>
      </c>
      <c r="E97" t="inlineStr">
        <is>
          <t>시흥시</t>
        </is>
      </c>
      <c r="F97" t="inlineStr">
        <is>
          <t>정왕시장</t>
        </is>
      </c>
      <c r="G97" t="inlineStr">
        <is>
          <t>경기도 시흥시 정왕동 군서로 35</t>
        </is>
      </c>
      <c r="J97" t="inlineStr">
        <is>
          <t>미검증</t>
        </is>
      </c>
      <c r="K97" t="inlineStr">
        <is>
          <t>2024-12-30</t>
        </is>
      </c>
      <c r="L97" t="inlineStr">
        <is>
          <t>영업중</t>
        </is>
      </c>
      <c r="M97" t="inlineStr">
        <is>
          <t>법인</t>
        </is>
      </c>
      <c r="N97" t="inlineStr">
        <is>
          <t>관광지 인접</t>
        </is>
      </c>
      <c r="O97" t="inlineStr">
        <is>
          <t>2021-06-25</t>
        </is>
      </c>
      <c r="P97" t="inlineStr">
        <is>
          <t>없음</t>
        </is>
      </c>
      <c r="Q97" t="inlineStr">
        <is>
          <t>담당4</t>
        </is>
      </c>
      <c r="R97" t="inlineStr">
        <is>
          <t>가상 데이터 / 실분포 반영 시연용</t>
        </is>
      </c>
    </row>
    <row r="98" ht="21" customHeight="1" s="26">
      <c r="A98" t="inlineStr">
        <is>
          <t>EXA-0097</t>
        </is>
      </c>
      <c r="B98" t="inlineStr">
        <is>
          <t>세명플러스환전 097호</t>
        </is>
      </c>
      <c r="C98" t="inlineStr">
        <is>
          <t>신준진</t>
        </is>
      </c>
      <c r="D98" t="inlineStr">
        <is>
          <t>경기도</t>
        </is>
      </c>
      <c r="E98" t="inlineStr">
        <is>
          <t>안산시</t>
        </is>
      </c>
      <c r="F98" t="inlineStr">
        <is>
          <t>원곡동</t>
        </is>
      </c>
      <c r="G98" t="inlineStr">
        <is>
          <t>경기도 안산시 단원구 원곡동 다문화길 129</t>
        </is>
      </c>
      <c r="J98" t="inlineStr">
        <is>
          <t>미검증</t>
        </is>
      </c>
      <c r="K98" t="inlineStr">
        <is>
          <t>2021-07-16</t>
        </is>
      </c>
      <c r="L98" t="inlineStr">
        <is>
          <t>휴업</t>
        </is>
      </c>
      <c r="M98" t="inlineStr">
        <is>
          <t>개인</t>
        </is>
      </c>
      <c r="N98" t="inlineStr">
        <is>
          <t>일반</t>
        </is>
      </c>
      <c r="O98" t="inlineStr">
        <is>
          <t>2021-07-07</t>
        </is>
      </c>
      <c r="P98" t="inlineStr">
        <is>
          <t>없음</t>
        </is>
      </c>
      <c r="Q98" t="inlineStr">
        <is>
          <t>담당4</t>
        </is>
      </c>
      <c r="R98" t="inlineStr">
        <is>
          <t>가상 데이터 / 실분포 반영 시연용</t>
        </is>
      </c>
    </row>
    <row r="99" ht="21" customHeight="1" s="26">
      <c r="A99" t="inlineStr">
        <is>
          <t>EXA-0098</t>
        </is>
      </c>
      <c r="B99" t="inlineStr">
        <is>
          <t>세명환전 098호</t>
        </is>
      </c>
      <c r="C99" t="inlineStr">
        <is>
          <t>오은연</t>
        </is>
      </c>
      <c r="D99" t="inlineStr">
        <is>
          <t>인천광역시</t>
        </is>
      </c>
      <c r="E99" t="inlineStr">
        <is>
          <t>부평구</t>
        </is>
      </c>
      <c r="F99" t="inlineStr">
        <is>
          <t>부평</t>
        </is>
      </c>
      <c r="G99" t="inlineStr">
        <is>
          <t>인천광역시 부평구 부흥로 85-4</t>
        </is>
      </c>
      <c r="J99" t="inlineStr">
        <is>
          <t>미검증</t>
        </is>
      </c>
      <c r="K99" t="inlineStr">
        <is>
          <t>2019-03-06</t>
        </is>
      </c>
      <c r="L99" t="inlineStr">
        <is>
          <t>영업중</t>
        </is>
      </c>
      <c r="M99" t="inlineStr">
        <is>
          <t>법인</t>
        </is>
      </c>
      <c r="N99" t="inlineStr">
        <is>
          <t>관광지 인접</t>
        </is>
      </c>
      <c r="O99" t="inlineStr">
        <is>
          <t>2026-06-17</t>
        </is>
      </c>
      <c r="P99" t="inlineStr">
        <is>
          <t>없음</t>
        </is>
      </c>
      <c r="Q99" t="inlineStr">
        <is>
          <t>담당4</t>
        </is>
      </c>
      <c r="R99" t="inlineStr">
        <is>
          <t>가상 데이터 / 실분포 반영 시연용</t>
        </is>
      </c>
    </row>
    <row r="100" ht="21" customHeight="1" s="26">
      <c r="A100" t="inlineStr">
        <is>
          <t>EXA-0099</t>
        </is>
      </c>
      <c r="B100" t="inlineStr">
        <is>
          <t>신세계스타환전 099호</t>
        </is>
      </c>
      <c r="C100" t="inlineStr">
        <is>
          <t>안태아</t>
        </is>
      </c>
      <c r="D100" t="inlineStr">
        <is>
          <t>경기도</t>
        </is>
      </c>
      <c r="E100" t="inlineStr">
        <is>
          <t>안산시</t>
        </is>
      </c>
      <c r="F100" t="inlineStr">
        <is>
          <t>원곡동</t>
        </is>
      </c>
      <c r="G100" t="inlineStr">
        <is>
          <t>경기도 안산시 단원구 원곡동 원곡로 142</t>
        </is>
      </c>
      <c r="J100" t="inlineStr">
        <is>
          <t>미검증</t>
        </is>
      </c>
      <c r="K100" t="inlineStr">
        <is>
          <t>2021-05-09</t>
        </is>
      </c>
      <c r="L100" t="inlineStr">
        <is>
          <t>휴업</t>
        </is>
      </c>
      <c r="M100" t="inlineStr">
        <is>
          <t>일반</t>
        </is>
      </c>
      <c r="N100" t="inlineStr">
        <is>
          <t>상업지역</t>
        </is>
      </c>
      <c r="O100" t="inlineStr">
        <is>
          <t>2025-01-10</t>
        </is>
      </c>
      <c r="P100" t="inlineStr">
        <is>
          <t>없음</t>
        </is>
      </c>
      <c r="Q100" t="inlineStr">
        <is>
          <t>담당1</t>
        </is>
      </c>
      <c r="R100" t="inlineStr">
        <is>
          <t>가상 데이터 / 실분포 반영 시연용</t>
        </is>
      </c>
    </row>
    <row r="101" ht="21" customHeight="1" s="26">
      <c r="A101" t="inlineStr">
        <is>
          <t>EXA-0100</t>
        </is>
      </c>
      <c r="B101" t="inlineStr">
        <is>
          <t>단원프라임환전 100호</t>
        </is>
      </c>
      <c r="C101" t="inlineStr">
        <is>
          <t>임우진</t>
        </is>
      </c>
      <c r="D101" t="inlineStr">
        <is>
          <t>경기도</t>
        </is>
      </c>
      <c r="E101" t="inlineStr">
        <is>
          <t>부천시</t>
        </is>
      </c>
      <c r="F101" t="inlineStr">
        <is>
          <t>부천</t>
        </is>
      </c>
      <c r="G101" t="inlineStr">
        <is>
          <t>경기도 부천시 중동로 40</t>
        </is>
      </c>
      <c r="J101" t="inlineStr">
        <is>
          <t>미검증</t>
        </is>
      </c>
      <c r="K101" t="inlineStr">
        <is>
          <t>2020-10-10</t>
        </is>
      </c>
      <c r="L101" t="inlineStr">
        <is>
          <t>영업중</t>
        </is>
      </c>
      <c r="M101" t="inlineStr">
        <is>
          <t>개인</t>
        </is>
      </c>
      <c r="N101" t="inlineStr">
        <is>
          <t>관광지 인접</t>
        </is>
      </c>
      <c r="O101" t="inlineStr">
        <is>
          <t>2022-07-26</t>
        </is>
      </c>
      <c r="P101" t="inlineStr">
        <is>
          <t>경미</t>
        </is>
      </c>
      <c r="Q101" t="inlineStr">
        <is>
          <t>담당1</t>
        </is>
      </c>
      <c r="R101" t="inlineStr">
        <is>
          <t>가상 데이터 / 실분포 반영 시연용</t>
        </is>
      </c>
    </row>
  </sheetData>
  <conditionalFormatting sqref="J2:J101">
    <cfRule type="expression" priority="1" dxfId="0">
      <formula>$J2="실패"</formula>
    </cfRule>
  </conditionalFormatting>
  <dataValidations count="3">
    <dataValidation sqref="L2:L101" showDropDown="0" showInputMessage="0" showErrorMessage="0" allowBlank="0" type="list">
      <formula1>"영업중,휴업,폐업"</formula1>
    </dataValidation>
    <dataValidation sqref="J2:J101" showDropDown="0" showInputMessage="0" showErrorMessage="0" allowBlank="0" type="list">
      <formula1>"미검증,검증완료,실패"</formula1>
    </dataValidation>
    <dataValidation sqref="P2:P101" showDropDown="0" showInputMessage="0" showErrorMessage="0" allowBlank="0" type="list">
      <formula1>"없음,경미,중대"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style="26" min="1" max="1"/>
    <col width="13" customWidth="1" style="26" min="2" max="2"/>
    <col width="22" customWidth="1" style="26" min="3" max="3"/>
    <col width="21" customWidth="1" style="26" min="4" max="4"/>
    <col width="23" customWidth="1" style="26" min="5" max="5"/>
    <col width="17" customWidth="1" style="26" min="6" max="6"/>
  </cols>
  <sheetData>
    <row r="1" ht="31" customHeight="1" s="26">
      <c r="A1" s="4" t="inlineStr">
        <is>
          <t>업체ID</t>
        </is>
      </c>
      <c r="B1" s="4" t="inlineStr">
        <is>
          <t>실적연도</t>
        </is>
      </c>
      <c r="C1" s="4" t="inlineStr">
        <is>
          <t>환전금액(만원)</t>
        </is>
      </c>
      <c r="D1" s="4" t="inlineStr">
        <is>
          <t>집계범위</t>
        </is>
      </c>
      <c r="E1" s="4" t="inlineStr">
        <is>
          <t>금액기준</t>
        </is>
      </c>
      <c r="F1" s="4" t="inlineStr">
        <is>
          <t>자료구분</t>
        </is>
      </c>
    </row>
    <row r="2" ht="21" customHeight="1" s="26">
      <c r="A2" t="inlineStr">
        <is>
          <t>EXA-0001</t>
        </is>
      </c>
      <c r="B2" t="n">
        <v>2023</v>
      </c>
      <c r="C2" s="31" t="n">
        <v>96952</v>
      </c>
      <c r="D2" t="inlineStr">
        <is>
          <t>연간 확정(가상)</t>
        </is>
      </c>
      <c r="E2" t="inlineStr">
        <is>
          <t>KRW 환산, 만원</t>
        </is>
      </c>
      <c r="F2" t="inlineStr">
        <is>
          <t>가상생성</t>
        </is>
      </c>
    </row>
    <row r="3" ht="21" customHeight="1" s="26">
      <c r="A3" t="inlineStr">
        <is>
          <t>EXA-0001</t>
        </is>
      </c>
      <c r="B3" t="n">
        <v>2024</v>
      </c>
      <c r="C3" s="31" t="n">
        <v>87168</v>
      </c>
      <c r="D3" t="inlineStr">
        <is>
          <t>연간 확정(가상)</t>
        </is>
      </c>
      <c r="E3" t="inlineStr">
        <is>
          <t>KRW 환산, 만원</t>
        </is>
      </c>
      <c r="F3" t="inlineStr">
        <is>
          <t>가상생성</t>
        </is>
      </c>
    </row>
    <row r="4" ht="21" customHeight="1" s="26">
      <c r="A4" t="inlineStr">
        <is>
          <t>EXA-0001</t>
        </is>
      </c>
      <c r="B4" t="n">
        <v>2025</v>
      </c>
      <c r="C4" s="31" t="n">
        <v>104453</v>
      </c>
      <c r="D4" t="inlineStr">
        <is>
          <t>연간 확정(가상)</t>
        </is>
      </c>
      <c r="E4" t="inlineStr">
        <is>
          <t>KRW 환산, 만원</t>
        </is>
      </c>
      <c r="F4" t="inlineStr">
        <is>
          <t>가상생성</t>
        </is>
      </c>
    </row>
    <row r="5" ht="21" customHeight="1" s="26">
      <c r="A5" t="inlineStr">
        <is>
          <t>EXA-0001</t>
        </is>
      </c>
      <c r="B5" t="n">
        <v>2026</v>
      </c>
      <c r="C5" s="31" t="n">
        <v>68248</v>
      </c>
      <c r="D5" t="inlineStr">
        <is>
          <t>1~3분기 누계</t>
        </is>
      </c>
      <c r="E5" t="inlineStr">
        <is>
          <t>KRW 환산, 만원</t>
        </is>
      </c>
      <c r="F5" t="inlineStr">
        <is>
          <t>가상생성</t>
        </is>
      </c>
    </row>
    <row r="6" ht="21" customHeight="1" s="26">
      <c r="A6" t="inlineStr">
        <is>
          <t>EXA-0002</t>
        </is>
      </c>
      <c r="B6" t="n">
        <v>2023</v>
      </c>
      <c r="C6" s="31" t="n">
        <v>208551</v>
      </c>
      <c r="D6" t="inlineStr">
        <is>
          <t>연간 확정(가상)</t>
        </is>
      </c>
      <c r="E6" t="inlineStr">
        <is>
          <t>KRW 환산, 만원</t>
        </is>
      </c>
      <c r="F6" t="inlineStr">
        <is>
          <t>가상생성</t>
        </is>
      </c>
    </row>
    <row r="7" ht="21" customHeight="1" s="26">
      <c r="A7" t="inlineStr">
        <is>
          <t>EXA-0002</t>
        </is>
      </c>
      <c r="B7" t="n">
        <v>2024</v>
      </c>
      <c r="C7" s="31" t="n">
        <v>147993</v>
      </c>
      <c r="D7" t="inlineStr">
        <is>
          <t>연간 확정(가상)</t>
        </is>
      </c>
      <c r="E7" t="inlineStr">
        <is>
          <t>KRW 환산, 만원</t>
        </is>
      </c>
      <c r="F7" t="inlineStr">
        <is>
          <t>가상생성</t>
        </is>
      </c>
    </row>
    <row r="8" ht="21" customHeight="1" s="26">
      <c r="A8" t="inlineStr">
        <is>
          <t>EXA-0002</t>
        </is>
      </c>
      <c r="B8" t="n">
        <v>2025</v>
      </c>
      <c r="C8" s="31" t="n">
        <v>86378</v>
      </c>
      <c r="D8" t="inlineStr">
        <is>
          <t>연간 확정(가상)</t>
        </is>
      </c>
      <c r="E8" t="inlineStr">
        <is>
          <t>KRW 환산, 만원</t>
        </is>
      </c>
      <c r="F8" t="inlineStr">
        <is>
          <t>가상생성</t>
        </is>
      </c>
    </row>
    <row r="9" ht="21" customHeight="1" s="26">
      <c r="A9" t="inlineStr">
        <is>
          <t>EXA-0002</t>
        </is>
      </c>
      <c r="B9" t="n">
        <v>2026</v>
      </c>
      <c r="C9" s="31" t="n">
        <v>69274</v>
      </c>
      <c r="D9" t="inlineStr">
        <is>
          <t>1~3분기 누계</t>
        </is>
      </c>
      <c r="E9" t="inlineStr">
        <is>
          <t>KRW 환산, 만원</t>
        </is>
      </c>
      <c r="F9" t="inlineStr">
        <is>
          <t>가상생성</t>
        </is>
      </c>
    </row>
    <row r="10" ht="21" customHeight="1" s="26">
      <c r="A10" t="inlineStr">
        <is>
          <t>EXA-0003</t>
        </is>
      </c>
      <c r="B10" t="n">
        <v>2023</v>
      </c>
      <c r="C10" s="31" t="n">
        <v>82123</v>
      </c>
      <c r="D10" t="inlineStr">
        <is>
          <t>연간 확정(가상)</t>
        </is>
      </c>
      <c r="E10" t="inlineStr">
        <is>
          <t>KRW 환산, 만원</t>
        </is>
      </c>
      <c r="F10" t="inlineStr">
        <is>
          <t>가상생성</t>
        </is>
      </c>
    </row>
    <row r="11" ht="21" customHeight="1" s="26">
      <c r="A11" t="inlineStr">
        <is>
          <t>EXA-0003</t>
        </is>
      </c>
      <c r="B11" t="n">
        <v>2024</v>
      </c>
      <c r="C11" s="31" t="n">
        <v>58070</v>
      </c>
      <c r="D11" t="inlineStr">
        <is>
          <t>연간 확정(가상)</t>
        </is>
      </c>
      <c r="E11" t="inlineStr">
        <is>
          <t>KRW 환산, 만원</t>
        </is>
      </c>
      <c r="F11" t="inlineStr">
        <is>
          <t>가상생성</t>
        </is>
      </c>
    </row>
    <row r="12" ht="21" customHeight="1" s="26">
      <c r="A12" t="inlineStr">
        <is>
          <t>EXA-0003</t>
        </is>
      </c>
      <c r="B12" t="n">
        <v>2025</v>
      </c>
      <c r="C12" s="31" t="n">
        <v>90246</v>
      </c>
      <c r="D12" t="inlineStr">
        <is>
          <t>연간 확정(가상)</t>
        </is>
      </c>
      <c r="E12" t="inlineStr">
        <is>
          <t>KRW 환산, 만원</t>
        </is>
      </c>
      <c r="F12" t="inlineStr">
        <is>
          <t>가상생성</t>
        </is>
      </c>
    </row>
    <row r="13" ht="21" customHeight="1" s="26">
      <c r="A13" t="inlineStr">
        <is>
          <t>EXA-0003</t>
        </is>
      </c>
      <c r="B13" t="n">
        <v>2026</v>
      </c>
      <c r="C13" s="31" t="n">
        <v>70528</v>
      </c>
      <c r="D13" t="inlineStr">
        <is>
          <t>1~3분기 누계</t>
        </is>
      </c>
      <c r="E13" t="inlineStr">
        <is>
          <t>KRW 환산, 만원</t>
        </is>
      </c>
      <c r="F13" t="inlineStr">
        <is>
          <t>가상생성</t>
        </is>
      </c>
    </row>
    <row r="14" ht="21" customHeight="1" s="26">
      <c r="A14" t="inlineStr">
        <is>
          <t>EXA-0004</t>
        </is>
      </c>
      <c r="B14" t="n">
        <v>2023</v>
      </c>
      <c r="C14" s="31" t="n">
        <v>200946</v>
      </c>
      <c r="D14" t="inlineStr">
        <is>
          <t>연간 확정(가상)</t>
        </is>
      </c>
      <c r="E14" t="inlineStr">
        <is>
          <t>KRW 환산, 만원</t>
        </is>
      </c>
      <c r="F14" t="inlineStr">
        <is>
          <t>가상생성</t>
        </is>
      </c>
    </row>
    <row r="15" ht="21" customHeight="1" s="26">
      <c r="A15" t="inlineStr">
        <is>
          <t>EXA-0004</t>
        </is>
      </c>
      <c r="B15" t="n">
        <v>2024</v>
      </c>
      <c r="C15" s="31" t="n">
        <v>148384</v>
      </c>
      <c r="D15" t="inlineStr">
        <is>
          <t>연간 확정(가상)</t>
        </is>
      </c>
      <c r="E15" t="inlineStr">
        <is>
          <t>KRW 환산, 만원</t>
        </is>
      </c>
      <c r="F15" t="inlineStr">
        <is>
          <t>가상생성</t>
        </is>
      </c>
    </row>
    <row r="16" ht="21" customHeight="1" s="26">
      <c r="A16" t="inlineStr">
        <is>
          <t>EXA-0004</t>
        </is>
      </c>
      <c r="B16" t="n">
        <v>2025</v>
      </c>
      <c r="C16" s="31" t="n">
        <v>219468</v>
      </c>
      <c r="D16" t="inlineStr">
        <is>
          <t>연간 확정(가상)</t>
        </is>
      </c>
      <c r="E16" t="inlineStr">
        <is>
          <t>KRW 환산, 만원</t>
        </is>
      </c>
      <c r="F16" t="inlineStr">
        <is>
          <t>가상생성</t>
        </is>
      </c>
    </row>
    <row r="17" ht="21" customHeight="1" s="26">
      <c r="A17" t="inlineStr">
        <is>
          <t>EXA-0004</t>
        </is>
      </c>
      <c r="B17" t="n">
        <v>2026</v>
      </c>
      <c r="C17" s="31" t="n">
        <v>95245</v>
      </c>
      <c r="D17" t="inlineStr">
        <is>
          <t>1~3분기 누계</t>
        </is>
      </c>
      <c r="E17" t="inlineStr">
        <is>
          <t>KRW 환산, 만원</t>
        </is>
      </c>
      <c r="F17" t="inlineStr">
        <is>
          <t>가상생성</t>
        </is>
      </c>
    </row>
    <row r="18" ht="21" customHeight="1" s="26">
      <c r="A18" t="inlineStr">
        <is>
          <t>EXA-0005</t>
        </is>
      </c>
      <c r="B18" t="n">
        <v>2023</v>
      </c>
      <c r="C18" s="31" t="n">
        <v>14539</v>
      </c>
      <c r="D18" t="inlineStr">
        <is>
          <t>연간 확정(가상)</t>
        </is>
      </c>
      <c r="E18" t="inlineStr">
        <is>
          <t>KRW 환산, 만원</t>
        </is>
      </c>
      <c r="F18" t="inlineStr">
        <is>
          <t>가상생성</t>
        </is>
      </c>
    </row>
    <row r="19" ht="21" customHeight="1" s="26">
      <c r="A19" t="inlineStr">
        <is>
          <t>EXA-0005</t>
        </is>
      </c>
      <c r="B19" t="n">
        <v>2024</v>
      </c>
      <c r="C19" s="31" t="n">
        <v>16044</v>
      </c>
      <c r="D19" t="inlineStr">
        <is>
          <t>연간 확정(가상)</t>
        </is>
      </c>
      <c r="E19" t="inlineStr">
        <is>
          <t>KRW 환산, 만원</t>
        </is>
      </c>
      <c r="F19" t="inlineStr">
        <is>
          <t>가상생성</t>
        </is>
      </c>
    </row>
    <row r="20" ht="21" customHeight="1" s="26">
      <c r="A20" t="inlineStr">
        <is>
          <t>EXA-0005</t>
        </is>
      </c>
      <c r="B20" t="n">
        <v>2025</v>
      </c>
      <c r="C20" s="31" t="n">
        <v>20254</v>
      </c>
      <c r="D20" t="inlineStr">
        <is>
          <t>연간 확정(가상)</t>
        </is>
      </c>
      <c r="E20" t="inlineStr">
        <is>
          <t>KRW 환산, 만원</t>
        </is>
      </c>
      <c r="F20" t="inlineStr">
        <is>
          <t>가상생성</t>
        </is>
      </c>
    </row>
    <row r="21" ht="21" customHeight="1" s="26">
      <c r="A21" t="inlineStr">
        <is>
          <t>EXA-0005</t>
        </is>
      </c>
      <c r="B21" t="n">
        <v>2026</v>
      </c>
      <c r="C21" s="31" t="n">
        <v>10344</v>
      </c>
      <c r="D21" t="inlineStr">
        <is>
          <t>1~3분기 누계</t>
        </is>
      </c>
      <c r="E21" t="inlineStr">
        <is>
          <t>KRW 환산, 만원</t>
        </is>
      </c>
      <c r="F21" t="inlineStr">
        <is>
          <t>가상생성</t>
        </is>
      </c>
    </row>
    <row r="22" ht="21" customHeight="1" s="26">
      <c r="A22" t="inlineStr">
        <is>
          <t>EXA-0006</t>
        </is>
      </c>
      <c r="B22" t="n">
        <v>2023</v>
      </c>
      <c r="C22" s="31" t="n">
        <v>27284</v>
      </c>
      <c r="D22" t="inlineStr">
        <is>
          <t>연간 확정(가상)</t>
        </is>
      </c>
      <c r="E22" t="inlineStr">
        <is>
          <t>KRW 환산, 만원</t>
        </is>
      </c>
      <c r="F22" t="inlineStr">
        <is>
          <t>가상생성</t>
        </is>
      </c>
    </row>
    <row r="23" ht="21" customHeight="1" s="26">
      <c r="A23" t="inlineStr">
        <is>
          <t>EXA-0006</t>
        </is>
      </c>
      <c r="B23" t="n">
        <v>2024</v>
      </c>
      <c r="C23" s="31" t="n">
        <v>37711</v>
      </c>
      <c r="D23" t="inlineStr">
        <is>
          <t>연간 확정(가상)</t>
        </is>
      </c>
      <c r="E23" t="inlineStr">
        <is>
          <t>KRW 환산, 만원</t>
        </is>
      </c>
      <c r="F23" t="inlineStr">
        <is>
          <t>가상생성</t>
        </is>
      </c>
    </row>
    <row r="24" ht="21" customHeight="1" s="26">
      <c r="A24" t="inlineStr">
        <is>
          <t>EXA-0006</t>
        </is>
      </c>
      <c r="B24" t="n">
        <v>2025</v>
      </c>
      <c r="C24" s="31" t="n">
        <v>34388</v>
      </c>
      <c r="D24" t="inlineStr">
        <is>
          <t>연간 확정(가상)</t>
        </is>
      </c>
      <c r="E24" t="inlineStr">
        <is>
          <t>KRW 환산, 만원</t>
        </is>
      </c>
      <c r="F24" t="inlineStr">
        <is>
          <t>가상생성</t>
        </is>
      </c>
    </row>
    <row r="25" ht="21" customHeight="1" s="26">
      <c r="A25" t="inlineStr">
        <is>
          <t>EXA-0006</t>
        </is>
      </c>
      <c r="B25" t="n">
        <v>2026</v>
      </c>
      <c r="C25" s="31" t="n">
        <v>22230</v>
      </c>
      <c r="D25" t="inlineStr">
        <is>
          <t>1~3분기 누계</t>
        </is>
      </c>
      <c r="E25" t="inlineStr">
        <is>
          <t>KRW 환산, 만원</t>
        </is>
      </c>
      <c r="F25" t="inlineStr">
        <is>
          <t>가상생성</t>
        </is>
      </c>
    </row>
    <row r="26" ht="21" customHeight="1" s="26">
      <c r="A26" t="inlineStr">
        <is>
          <t>EXA-0007</t>
        </is>
      </c>
      <c r="B26" t="n">
        <v>2023</v>
      </c>
      <c r="C26" s="31" t="n">
        <v>132247</v>
      </c>
      <c r="D26" t="inlineStr">
        <is>
          <t>연간 확정(가상)</t>
        </is>
      </c>
      <c r="E26" t="inlineStr">
        <is>
          <t>KRW 환산, 만원</t>
        </is>
      </c>
      <c r="F26" t="inlineStr">
        <is>
          <t>가상생성</t>
        </is>
      </c>
    </row>
    <row r="27" ht="21" customHeight="1" s="26">
      <c r="A27" t="inlineStr">
        <is>
          <t>EXA-0007</t>
        </is>
      </c>
      <c r="B27" t="n">
        <v>2024</v>
      </c>
      <c r="C27" s="31" t="n">
        <v>171885</v>
      </c>
      <c r="D27" t="inlineStr">
        <is>
          <t>연간 확정(가상)</t>
        </is>
      </c>
      <c r="E27" t="inlineStr">
        <is>
          <t>KRW 환산, 만원</t>
        </is>
      </c>
      <c r="F27" t="inlineStr">
        <is>
          <t>가상생성</t>
        </is>
      </c>
    </row>
    <row r="28" ht="21" customHeight="1" s="26">
      <c r="A28" t="inlineStr">
        <is>
          <t>EXA-0007</t>
        </is>
      </c>
      <c r="B28" t="n">
        <v>2025</v>
      </c>
      <c r="C28" s="31" t="n">
        <v>230132</v>
      </c>
      <c r="D28" t="inlineStr">
        <is>
          <t>연간 확정(가상)</t>
        </is>
      </c>
      <c r="E28" t="inlineStr">
        <is>
          <t>KRW 환산, 만원</t>
        </is>
      </c>
      <c r="F28" t="inlineStr">
        <is>
          <t>가상생성</t>
        </is>
      </c>
    </row>
    <row r="29" ht="21" customHeight="1" s="26">
      <c r="A29" t="inlineStr">
        <is>
          <t>EXA-0007</t>
        </is>
      </c>
      <c r="B29" t="n">
        <v>2026</v>
      </c>
      <c r="C29" s="31" t="n">
        <v>177531</v>
      </c>
      <c r="D29" t="inlineStr">
        <is>
          <t>1~3분기 누계</t>
        </is>
      </c>
      <c r="E29" t="inlineStr">
        <is>
          <t>KRW 환산, 만원</t>
        </is>
      </c>
      <c r="F29" t="inlineStr">
        <is>
          <t>가상생성</t>
        </is>
      </c>
    </row>
    <row r="30" ht="21" customHeight="1" s="26">
      <c r="A30" t="inlineStr">
        <is>
          <t>EXA-0008</t>
        </is>
      </c>
      <c r="B30" t="n">
        <v>2023</v>
      </c>
      <c r="C30" s="31" t="n">
        <v>258106</v>
      </c>
      <c r="D30" t="inlineStr">
        <is>
          <t>연간 확정(가상)</t>
        </is>
      </c>
      <c r="E30" t="inlineStr">
        <is>
          <t>KRW 환산, 만원</t>
        </is>
      </c>
      <c r="F30" t="inlineStr">
        <is>
          <t>가상생성</t>
        </is>
      </c>
    </row>
    <row r="31" ht="21" customHeight="1" s="26">
      <c r="A31" t="inlineStr">
        <is>
          <t>EXA-0008</t>
        </is>
      </c>
      <c r="B31" t="n">
        <v>2024</v>
      </c>
      <c r="C31" s="31" t="n">
        <v>333098</v>
      </c>
      <c r="D31" t="inlineStr">
        <is>
          <t>연간 확정(가상)</t>
        </is>
      </c>
      <c r="E31" t="inlineStr">
        <is>
          <t>KRW 환산, 만원</t>
        </is>
      </c>
      <c r="F31" t="inlineStr">
        <is>
          <t>가상생성</t>
        </is>
      </c>
    </row>
    <row r="32" ht="21" customHeight="1" s="26">
      <c r="A32" t="inlineStr">
        <is>
          <t>EXA-0008</t>
        </is>
      </c>
      <c r="B32" t="n">
        <v>2025</v>
      </c>
      <c r="C32" s="31" t="n">
        <v>310447</v>
      </c>
      <c r="D32" t="inlineStr">
        <is>
          <t>연간 확정(가상)</t>
        </is>
      </c>
      <c r="E32" t="inlineStr">
        <is>
          <t>KRW 환산, 만원</t>
        </is>
      </c>
      <c r="F32" t="inlineStr">
        <is>
          <t>가상생성</t>
        </is>
      </c>
    </row>
    <row r="33" ht="21" customHeight="1" s="26">
      <c r="A33" t="inlineStr">
        <is>
          <t>EXA-0008</t>
        </is>
      </c>
      <c r="B33" t="n">
        <v>2026</v>
      </c>
      <c r="C33" s="31" t="n">
        <v>144567</v>
      </c>
      <c r="D33" t="inlineStr">
        <is>
          <t>1~3분기 누계</t>
        </is>
      </c>
      <c r="E33" t="inlineStr">
        <is>
          <t>KRW 환산, 만원</t>
        </is>
      </c>
      <c r="F33" t="inlineStr">
        <is>
          <t>가상생성</t>
        </is>
      </c>
    </row>
    <row r="34" ht="21" customHeight="1" s="26">
      <c r="A34" t="inlineStr">
        <is>
          <t>EXA-0009</t>
        </is>
      </c>
      <c r="B34" t="n">
        <v>2023</v>
      </c>
      <c r="C34" s="31" t="n">
        <v>30570</v>
      </c>
      <c r="D34" t="inlineStr">
        <is>
          <t>연간 확정(가상)</t>
        </is>
      </c>
      <c r="E34" t="inlineStr">
        <is>
          <t>KRW 환산, 만원</t>
        </is>
      </c>
      <c r="F34" t="inlineStr">
        <is>
          <t>가상생성</t>
        </is>
      </c>
    </row>
    <row r="35" ht="21" customHeight="1" s="26">
      <c r="A35" t="inlineStr">
        <is>
          <t>EXA-0009</t>
        </is>
      </c>
      <c r="B35" t="n">
        <v>2024</v>
      </c>
      <c r="C35" s="31" t="n">
        <v>42843</v>
      </c>
      <c r="D35" t="inlineStr">
        <is>
          <t>연간 확정(가상)</t>
        </is>
      </c>
      <c r="E35" t="inlineStr">
        <is>
          <t>KRW 환산, 만원</t>
        </is>
      </c>
      <c r="F35" t="inlineStr">
        <is>
          <t>가상생성</t>
        </is>
      </c>
    </row>
    <row r="36" ht="21" customHeight="1" s="26">
      <c r="A36" t="inlineStr">
        <is>
          <t>EXA-0009</t>
        </is>
      </c>
      <c r="B36" t="n">
        <v>2025</v>
      </c>
      <c r="C36" s="31" t="n">
        <v>40946</v>
      </c>
      <c r="D36" t="inlineStr">
        <is>
          <t>연간 확정(가상)</t>
        </is>
      </c>
      <c r="E36" t="inlineStr">
        <is>
          <t>KRW 환산, 만원</t>
        </is>
      </c>
      <c r="F36" t="inlineStr">
        <is>
          <t>가상생성</t>
        </is>
      </c>
    </row>
    <row r="37" ht="21" customHeight="1" s="26">
      <c r="A37" t="inlineStr">
        <is>
          <t>EXA-0009</t>
        </is>
      </c>
      <c r="B37" t="n">
        <v>2026</v>
      </c>
      <c r="C37" s="31" t="n">
        <v>20590</v>
      </c>
      <c r="D37" t="inlineStr">
        <is>
          <t>1~3분기 누계</t>
        </is>
      </c>
      <c r="E37" t="inlineStr">
        <is>
          <t>KRW 환산, 만원</t>
        </is>
      </c>
      <c r="F37" t="inlineStr">
        <is>
          <t>가상생성</t>
        </is>
      </c>
    </row>
    <row r="38" ht="21" customHeight="1" s="26">
      <c r="A38" t="inlineStr">
        <is>
          <t>EXA-0010</t>
        </is>
      </c>
      <c r="B38" t="n">
        <v>2023</v>
      </c>
      <c r="C38" s="31" t="n">
        <v>163719</v>
      </c>
      <c r="D38" t="inlineStr">
        <is>
          <t>연간 확정(가상)</t>
        </is>
      </c>
      <c r="E38" t="inlineStr">
        <is>
          <t>KRW 환산, 만원</t>
        </is>
      </c>
      <c r="F38" t="inlineStr">
        <is>
          <t>가상생성</t>
        </is>
      </c>
    </row>
    <row r="39" ht="21" customHeight="1" s="26">
      <c r="A39" t="inlineStr">
        <is>
          <t>EXA-0010</t>
        </is>
      </c>
      <c r="B39" t="n">
        <v>2024</v>
      </c>
      <c r="C39" s="31" t="n">
        <v>195781</v>
      </c>
      <c r="D39" t="inlineStr">
        <is>
          <t>연간 확정(가상)</t>
        </is>
      </c>
      <c r="E39" t="inlineStr">
        <is>
          <t>KRW 환산, 만원</t>
        </is>
      </c>
      <c r="F39" t="inlineStr">
        <is>
          <t>가상생성</t>
        </is>
      </c>
    </row>
    <row r="40" ht="21" customHeight="1" s="26">
      <c r="A40" t="inlineStr">
        <is>
          <t>EXA-0010</t>
        </is>
      </c>
      <c r="B40" t="n">
        <v>2025</v>
      </c>
      <c r="C40" s="31" t="n">
        <v>119501</v>
      </c>
      <c r="D40" t="inlineStr">
        <is>
          <t>연간 확정(가상)</t>
        </is>
      </c>
      <c r="E40" t="inlineStr">
        <is>
          <t>KRW 환산, 만원</t>
        </is>
      </c>
      <c r="F40" t="inlineStr">
        <is>
          <t>가상생성</t>
        </is>
      </c>
    </row>
    <row r="41" ht="21" customHeight="1" s="26">
      <c r="A41" t="inlineStr">
        <is>
          <t>EXA-0010</t>
        </is>
      </c>
      <c r="B41" t="n">
        <v>2026</v>
      </c>
      <c r="C41" s="31" t="n">
        <v>49226</v>
      </c>
      <c r="D41" t="inlineStr">
        <is>
          <t>1~3분기 누계</t>
        </is>
      </c>
      <c r="E41" t="inlineStr">
        <is>
          <t>KRW 환산, 만원</t>
        </is>
      </c>
      <c r="F41" t="inlineStr">
        <is>
          <t>가상생성</t>
        </is>
      </c>
    </row>
    <row r="42" ht="21" customHeight="1" s="26">
      <c r="A42" t="inlineStr">
        <is>
          <t>EXA-0011</t>
        </is>
      </c>
      <c r="B42" t="n">
        <v>2023</v>
      </c>
      <c r="C42" s="31" t="n">
        <v>44177</v>
      </c>
      <c r="D42" t="inlineStr">
        <is>
          <t>연간 확정(가상)</t>
        </is>
      </c>
      <c r="E42" t="inlineStr">
        <is>
          <t>KRW 환산, 만원</t>
        </is>
      </c>
      <c r="F42" t="inlineStr">
        <is>
          <t>가상생성</t>
        </is>
      </c>
    </row>
    <row r="43" ht="21" customHeight="1" s="26">
      <c r="A43" t="inlineStr">
        <is>
          <t>EXA-0011</t>
        </is>
      </c>
      <c r="B43" t="n">
        <v>2024</v>
      </c>
      <c r="C43" s="31" t="n">
        <v>31567</v>
      </c>
      <c r="D43" t="inlineStr">
        <is>
          <t>연간 확정(가상)</t>
        </is>
      </c>
      <c r="E43" t="inlineStr">
        <is>
          <t>KRW 환산, 만원</t>
        </is>
      </c>
      <c r="F43" t="inlineStr">
        <is>
          <t>가상생성</t>
        </is>
      </c>
    </row>
    <row r="44" ht="21" customHeight="1" s="26">
      <c r="A44" t="inlineStr">
        <is>
          <t>EXA-0011</t>
        </is>
      </c>
      <c r="B44" t="n">
        <v>2025</v>
      </c>
      <c r="C44" s="31" t="n">
        <v>51390</v>
      </c>
      <c r="D44" t="inlineStr">
        <is>
          <t>연간 확정(가상)</t>
        </is>
      </c>
      <c r="E44" t="inlineStr">
        <is>
          <t>KRW 환산, 만원</t>
        </is>
      </c>
      <c r="F44" t="inlineStr">
        <is>
          <t>가상생성</t>
        </is>
      </c>
    </row>
    <row r="45" ht="21" customHeight="1" s="26">
      <c r="A45" t="inlineStr">
        <is>
          <t>EXA-0011</t>
        </is>
      </c>
      <c r="B45" t="n">
        <v>2026</v>
      </c>
      <c r="C45" s="31" t="n">
        <v>34819</v>
      </c>
      <c r="D45" t="inlineStr">
        <is>
          <t>1~3분기 누계</t>
        </is>
      </c>
      <c r="E45" t="inlineStr">
        <is>
          <t>KRW 환산, 만원</t>
        </is>
      </c>
      <c r="F45" t="inlineStr">
        <is>
          <t>가상생성</t>
        </is>
      </c>
    </row>
    <row r="46" ht="21" customHeight="1" s="26">
      <c r="A46" t="inlineStr">
        <is>
          <t>EXA-0012</t>
        </is>
      </c>
      <c r="B46" t="n">
        <v>2023</v>
      </c>
      <c r="C46" s="31" t="n">
        <v>68974</v>
      </c>
      <c r="D46" t="inlineStr">
        <is>
          <t>연간 확정(가상)</t>
        </is>
      </c>
      <c r="E46" t="inlineStr">
        <is>
          <t>KRW 환산, 만원</t>
        </is>
      </c>
      <c r="F46" t="inlineStr">
        <is>
          <t>가상생성</t>
        </is>
      </c>
    </row>
    <row r="47" ht="21" customHeight="1" s="26">
      <c r="A47" t="inlineStr">
        <is>
          <t>EXA-0012</t>
        </is>
      </c>
      <c r="B47" t="n">
        <v>2024</v>
      </c>
      <c r="C47" s="31" t="n">
        <v>85064</v>
      </c>
      <c r="D47" t="inlineStr">
        <is>
          <t>연간 확정(가상)</t>
        </is>
      </c>
      <c r="E47" t="inlineStr">
        <is>
          <t>KRW 환산, 만원</t>
        </is>
      </c>
      <c r="F47" t="inlineStr">
        <is>
          <t>가상생성</t>
        </is>
      </c>
    </row>
    <row r="48" ht="21" customHeight="1" s="26">
      <c r="A48" t="inlineStr">
        <is>
          <t>EXA-0012</t>
        </is>
      </c>
      <c r="B48" t="n">
        <v>2025</v>
      </c>
      <c r="C48" s="31" t="n">
        <v>109072</v>
      </c>
      <c r="D48" t="inlineStr">
        <is>
          <t>연간 확정(가상)</t>
        </is>
      </c>
      <c r="E48" t="inlineStr">
        <is>
          <t>KRW 환산, 만원</t>
        </is>
      </c>
      <c r="F48" t="inlineStr">
        <is>
          <t>가상생성</t>
        </is>
      </c>
    </row>
    <row r="49" ht="21" customHeight="1" s="26">
      <c r="A49" t="inlineStr">
        <is>
          <t>EXA-0012</t>
        </is>
      </c>
      <c r="B49" t="n">
        <v>2026</v>
      </c>
      <c r="C49" s="31" t="n">
        <v>58047</v>
      </c>
      <c r="D49" t="inlineStr">
        <is>
          <t>1~3분기 누계</t>
        </is>
      </c>
      <c r="E49" t="inlineStr">
        <is>
          <t>KRW 환산, 만원</t>
        </is>
      </c>
      <c r="F49" t="inlineStr">
        <is>
          <t>가상생성</t>
        </is>
      </c>
    </row>
    <row r="50" ht="21" customHeight="1" s="26">
      <c r="A50" t="inlineStr">
        <is>
          <t>EXA-0013</t>
        </is>
      </c>
      <c r="B50" t="n">
        <v>2023</v>
      </c>
      <c r="C50" s="31" t="n">
        <v>106268</v>
      </c>
      <c r="D50" t="inlineStr">
        <is>
          <t>연간 확정(가상)</t>
        </is>
      </c>
      <c r="E50" t="inlineStr">
        <is>
          <t>KRW 환산, 만원</t>
        </is>
      </c>
      <c r="F50" t="inlineStr">
        <is>
          <t>가상생성</t>
        </is>
      </c>
    </row>
    <row r="51" ht="21" customHeight="1" s="26">
      <c r="A51" t="inlineStr">
        <is>
          <t>EXA-0013</t>
        </is>
      </c>
      <c r="B51" t="n">
        <v>2024</v>
      </c>
      <c r="C51" s="31" t="n">
        <v>140900</v>
      </c>
      <c r="D51" t="inlineStr">
        <is>
          <t>연간 확정(가상)</t>
        </is>
      </c>
      <c r="E51" t="inlineStr">
        <is>
          <t>KRW 환산, 만원</t>
        </is>
      </c>
      <c r="F51" t="inlineStr">
        <is>
          <t>가상생성</t>
        </is>
      </c>
    </row>
    <row r="52" ht="21" customHeight="1" s="26">
      <c r="A52" t="inlineStr">
        <is>
          <t>EXA-0013</t>
        </is>
      </c>
      <c r="B52" t="n">
        <v>2025</v>
      </c>
      <c r="C52" s="31" t="n">
        <v>198331</v>
      </c>
      <c r="D52" t="inlineStr">
        <is>
          <t>연간 확정(가상)</t>
        </is>
      </c>
      <c r="E52" t="inlineStr">
        <is>
          <t>KRW 환산, 만원</t>
        </is>
      </c>
      <c r="F52" t="inlineStr">
        <is>
          <t>가상생성</t>
        </is>
      </c>
    </row>
    <row r="53" ht="21" customHeight="1" s="26">
      <c r="A53" t="inlineStr">
        <is>
          <t>EXA-0013</t>
        </is>
      </c>
      <c r="B53" t="n">
        <v>2026</v>
      </c>
      <c r="C53" s="31" t="n">
        <v>108782</v>
      </c>
      <c r="D53" t="inlineStr">
        <is>
          <t>1~3분기 누계</t>
        </is>
      </c>
      <c r="E53" t="inlineStr">
        <is>
          <t>KRW 환산, 만원</t>
        </is>
      </c>
      <c r="F53" t="inlineStr">
        <is>
          <t>가상생성</t>
        </is>
      </c>
    </row>
    <row r="54" ht="21" customHeight="1" s="26">
      <c r="A54" t="inlineStr">
        <is>
          <t>EXA-0014</t>
        </is>
      </c>
      <c r="B54" t="n">
        <v>2023</v>
      </c>
      <c r="C54" s="31" t="n">
        <v>178795</v>
      </c>
      <c r="D54" t="inlineStr">
        <is>
          <t>연간 확정(가상)</t>
        </is>
      </c>
      <c r="E54" t="inlineStr">
        <is>
          <t>KRW 환산, 만원</t>
        </is>
      </c>
      <c r="F54" t="inlineStr">
        <is>
          <t>가상생성</t>
        </is>
      </c>
    </row>
    <row r="55" ht="21" customHeight="1" s="26">
      <c r="A55" t="inlineStr">
        <is>
          <t>EXA-0014</t>
        </is>
      </c>
      <c r="B55" t="n">
        <v>2024</v>
      </c>
      <c r="C55" s="31" t="n">
        <v>155028</v>
      </c>
      <c r="D55" t="inlineStr">
        <is>
          <t>연간 확정(가상)</t>
        </is>
      </c>
      <c r="E55" t="inlineStr">
        <is>
          <t>KRW 환산, 만원</t>
        </is>
      </c>
      <c r="F55" t="inlineStr">
        <is>
          <t>가상생성</t>
        </is>
      </c>
    </row>
    <row r="56" ht="21" customHeight="1" s="26">
      <c r="A56" t="inlineStr">
        <is>
          <t>EXA-0014</t>
        </is>
      </c>
      <c r="B56" t="n">
        <v>2025</v>
      </c>
      <c r="C56" s="31" t="n">
        <v>217515</v>
      </c>
      <c r="D56" t="inlineStr">
        <is>
          <t>연간 확정(가상)</t>
        </is>
      </c>
      <c r="E56" t="inlineStr">
        <is>
          <t>KRW 환산, 만원</t>
        </is>
      </c>
      <c r="F56" t="inlineStr">
        <is>
          <t>가상생성</t>
        </is>
      </c>
    </row>
    <row r="57" ht="21" customHeight="1" s="26">
      <c r="A57" t="inlineStr">
        <is>
          <t>EXA-0014</t>
        </is>
      </c>
      <c r="B57" t="n">
        <v>2026</v>
      </c>
      <c r="C57" s="31" t="n">
        <v>164661</v>
      </c>
      <c r="D57" t="inlineStr">
        <is>
          <t>1~3분기 누계</t>
        </is>
      </c>
      <c r="E57" t="inlineStr">
        <is>
          <t>KRW 환산, 만원</t>
        </is>
      </c>
      <c r="F57" t="inlineStr">
        <is>
          <t>가상생성</t>
        </is>
      </c>
    </row>
    <row r="58" ht="21" customHeight="1" s="26">
      <c r="A58" t="inlineStr">
        <is>
          <t>EXA-0015</t>
        </is>
      </c>
      <c r="B58" t="n">
        <v>2023</v>
      </c>
      <c r="C58" s="31" t="n">
        <v>27184</v>
      </c>
      <c r="D58" t="inlineStr">
        <is>
          <t>연간 확정(가상)</t>
        </is>
      </c>
      <c r="E58" t="inlineStr">
        <is>
          <t>KRW 환산, 만원</t>
        </is>
      </c>
      <c r="F58" t="inlineStr">
        <is>
          <t>가상생성</t>
        </is>
      </c>
    </row>
    <row r="59" ht="21" customHeight="1" s="26">
      <c r="A59" t="inlineStr">
        <is>
          <t>EXA-0015</t>
        </is>
      </c>
      <c r="B59" t="n">
        <v>2024</v>
      </c>
      <c r="C59" s="31" t="n">
        <v>22299</v>
      </c>
      <c r="D59" t="inlineStr">
        <is>
          <t>연간 확정(가상)</t>
        </is>
      </c>
      <c r="E59" t="inlineStr">
        <is>
          <t>KRW 환산, 만원</t>
        </is>
      </c>
      <c r="F59" t="inlineStr">
        <is>
          <t>가상생성</t>
        </is>
      </c>
    </row>
    <row r="60" ht="21" customHeight="1" s="26">
      <c r="A60" t="inlineStr">
        <is>
          <t>EXA-0015</t>
        </is>
      </c>
      <c r="B60" t="n">
        <v>2025</v>
      </c>
      <c r="C60" s="31" t="n">
        <v>35669</v>
      </c>
      <c r="D60" t="inlineStr">
        <is>
          <t>연간 확정(가상)</t>
        </is>
      </c>
      <c r="E60" t="inlineStr">
        <is>
          <t>KRW 환산, 만원</t>
        </is>
      </c>
      <c r="F60" t="inlineStr">
        <is>
          <t>가상생성</t>
        </is>
      </c>
    </row>
    <row r="61" ht="21" customHeight="1" s="26">
      <c r="A61" t="inlineStr">
        <is>
          <t>EXA-0015</t>
        </is>
      </c>
      <c r="B61" t="n">
        <v>2026</v>
      </c>
      <c r="C61" s="31" t="n">
        <v>31083</v>
      </c>
      <c r="D61" t="inlineStr">
        <is>
          <t>1~3분기 누계</t>
        </is>
      </c>
      <c r="E61" t="inlineStr">
        <is>
          <t>KRW 환산, 만원</t>
        </is>
      </c>
      <c r="F61" t="inlineStr">
        <is>
          <t>가상생성</t>
        </is>
      </c>
    </row>
    <row r="62" ht="21" customHeight="1" s="26">
      <c r="A62" t="inlineStr">
        <is>
          <t>EXA-0016</t>
        </is>
      </c>
      <c r="B62" t="n">
        <v>2023</v>
      </c>
      <c r="C62" s="31" t="n">
        <v>76349</v>
      </c>
      <c r="D62" t="inlineStr">
        <is>
          <t>연간 확정(가상)</t>
        </is>
      </c>
      <c r="E62" t="inlineStr">
        <is>
          <t>KRW 환산, 만원</t>
        </is>
      </c>
      <c r="F62" t="inlineStr">
        <is>
          <t>가상생성</t>
        </is>
      </c>
    </row>
    <row r="63" ht="21" customHeight="1" s="26">
      <c r="A63" t="inlineStr">
        <is>
          <t>EXA-0016</t>
        </is>
      </c>
      <c r="B63" t="n">
        <v>2024</v>
      </c>
      <c r="C63" s="31" t="n">
        <v>107244</v>
      </c>
      <c r="D63" t="inlineStr">
        <is>
          <t>연간 확정(가상)</t>
        </is>
      </c>
      <c r="E63" t="inlineStr">
        <is>
          <t>KRW 환산, 만원</t>
        </is>
      </c>
      <c r="F63" t="inlineStr">
        <is>
          <t>가상생성</t>
        </is>
      </c>
    </row>
    <row r="64" ht="21" customHeight="1" s="26">
      <c r="A64" t="inlineStr">
        <is>
          <t>EXA-0016</t>
        </is>
      </c>
      <c r="B64" t="n">
        <v>2025</v>
      </c>
      <c r="C64" s="31" t="n">
        <v>125599</v>
      </c>
      <c r="D64" t="inlineStr">
        <is>
          <t>연간 확정(가상)</t>
        </is>
      </c>
      <c r="E64" t="inlineStr">
        <is>
          <t>KRW 환산, 만원</t>
        </is>
      </c>
      <c r="F64" t="inlineStr">
        <is>
          <t>가상생성</t>
        </is>
      </c>
    </row>
    <row r="65" ht="21" customHeight="1" s="26">
      <c r="A65" t="inlineStr">
        <is>
          <t>EXA-0016</t>
        </is>
      </c>
      <c r="B65" t="n">
        <v>2026</v>
      </c>
      <c r="C65" s="31" t="n">
        <v>45595</v>
      </c>
      <c r="D65" t="inlineStr">
        <is>
          <t>1~3분기 누계</t>
        </is>
      </c>
      <c r="E65" t="inlineStr">
        <is>
          <t>KRW 환산, 만원</t>
        </is>
      </c>
      <c r="F65" t="inlineStr">
        <is>
          <t>가상생성</t>
        </is>
      </c>
    </row>
    <row r="66" ht="21" customHeight="1" s="26">
      <c r="A66" t="inlineStr">
        <is>
          <t>EXA-0017</t>
        </is>
      </c>
      <c r="B66" t="n">
        <v>2023</v>
      </c>
      <c r="C66" s="31" t="n">
        <v>26160</v>
      </c>
      <c r="D66" t="inlineStr">
        <is>
          <t>연간 확정(가상)</t>
        </is>
      </c>
      <c r="E66" t="inlineStr">
        <is>
          <t>KRW 환산, 만원</t>
        </is>
      </c>
      <c r="F66" t="inlineStr">
        <is>
          <t>가상생성</t>
        </is>
      </c>
    </row>
    <row r="67" ht="21" customHeight="1" s="26">
      <c r="A67" t="inlineStr">
        <is>
          <t>EXA-0017</t>
        </is>
      </c>
      <c r="B67" t="n">
        <v>2024</v>
      </c>
      <c r="C67" s="31" t="n">
        <v>28818</v>
      </c>
      <c r="D67" t="inlineStr">
        <is>
          <t>연간 확정(가상)</t>
        </is>
      </c>
      <c r="E67" t="inlineStr">
        <is>
          <t>KRW 환산, 만원</t>
        </is>
      </c>
      <c r="F67" t="inlineStr">
        <is>
          <t>가상생성</t>
        </is>
      </c>
    </row>
    <row r="68" ht="21" customHeight="1" s="26">
      <c r="A68" t="inlineStr">
        <is>
          <t>EXA-0017</t>
        </is>
      </c>
      <c r="B68" t="n">
        <v>2025</v>
      </c>
      <c r="C68" s="31" t="n">
        <v>33069</v>
      </c>
      <c r="D68" t="inlineStr">
        <is>
          <t>연간 확정(가상)</t>
        </is>
      </c>
      <c r="E68" t="inlineStr">
        <is>
          <t>KRW 환산, 만원</t>
        </is>
      </c>
      <c r="F68" t="inlineStr">
        <is>
          <t>가상생성</t>
        </is>
      </c>
    </row>
    <row r="69" ht="21" customHeight="1" s="26">
      <c r="A69" t="inlineStr">
        <is>
          <t>EXA-0017</t>
        </is>
      </c>
      <c r="B69" t="n">
        <v>2026</v>
      </c>
      <c r="C69" s="31" t="n">
        <v>23028</v>
      </c>
      <c r="D69" t="inlineStr">
        <is>
          <t>1~3분기 누계</t>
        </is>
      </c>
      <c r="E69" t="inlineStr">
        <is>
          <t>KRW 환산, 만원</t>
        </is>
      </c>
      <c r="F69" t="inlineStr">
        <is>
          <t>가상생성</t>
        </is>
      </c>
    </row>
    <row r="70" ht="21" customHeight="1" s="26">
      <c r="A70" t="inlineStr">
        <is>
          <t>EXA-0018</t>
        </is>
      </c>
      <c r="B70" t="n">
        <v>2023</v>
      </c>
      <c r="C70" s="31" t="n">
        <v>165871</v>
      </c>
      <c r="D70" t="inlineStr">
        <is>
          <t>연간 확정(가상)</t>
        </is>
      </c>
      <c r="E70" t="inlineStr">
        <is>
          <t>KRW 환산, 만원</t>
        </is>
      </c>
      <c r="F70" t="inlineStr">
        <is>
          <t>가상생성</t>
        </is>
      </c>
    </row>
    <row r="71" ht="21" customHeight="1" s="26">
      <c r="A71" t="inlineStr">
        <is>
          <t>EXA-0018</t>
        </is>
      </c>
      <c r="B71" t="n">
        <v>2024</v>
      </c>
      <c r="C71" s="31" t="n">
        <v>170843</v>
      </c>
      <c r="D71" t="inlineStr">
        <is>
          <t>연간 확정(가상)</t>
        </is>
      </c>
      <c r="E71" t="inlineStr">
        <is>
          <t>KRW 환산, 만원</t>
        </is>
      </c>
      <c r="F71" t="inlineStr">
        <is>
          <t>가상생성</t>
        </is>
      </c>
    </row>
    <row r="72" ht="21" customHeight="1" s="26">
      <c r="A72" t="inlineStr">
        <is>
          <t>EXA-0018</t>
        </is>
      </c>
      <c r="B72" t="n">
        <v>2025</v>
      </c>
      <c r="C72" s="31" t="n">
        <v>200260</v>
      </c>
      <c r="D72" t="inlineStr">
        <is>
          <t>연간 확정(가상)</t>
        </is>
      </c>
      <c r="E72" t="inlineStr">
        <is>
          <t>KRW 환산, 만원</t>
        </is>
      </c>
      <c r="F72" t="inlineStr">
        <is>
          <t>가상생성</t>
        </is>
      </c>
    </row>
    <row r="73" ht="21" customHeight="1" s="26">
      <c r="A73" t="inlineStr">
        <is>
          <t>EXA-0018</t>
        </is>
      </c>
      <c r="B73" t="n">
        <v>2026</v>
      </c>
      <c r="C73" s="31" t="n">
        <v>148585</v>
      </c>
      <c r="D73" t="inlineStr">
        <is>
          <t>1~3분기 누계</t>
        </is>
      </c>
      <c r="E73" t="inlineStr">
        <is>
          <t>KRW 환산, 만원</t>
        </is>
      </c>
      <c r="F73" t="inlineStr">
        <is>
          <t>가상생성</t>
        </is>
      </c>
    </row>
    <row r="74" ht="21" customHeight="1" s="26">
      <c r="A74" t="inlineStr">
        <is>
          <t>EXA-0019</t>
        </is>
      </c>
      <c r="B74" t="n">
        <v>2023</v>
      </c>
      <c r="C74" s="31" t="n">
        <v>188051</v>
      </c>
      <c r="D74" t="inlineStr">
        <is>
          <t>연간 확정(가상)</t>
        </is>
      </c>
      <c r="E74" t="inlineStr">
        <is>
          <t>KRW 환산, 만원</t>
        </is>
      </c>
      <c r="F74" t="inlineStr">
        <is>
          <t>가상생성</t>
        </is>
      </c>
    </row>
    <row r="75" ht="21" customHeight="1" s="26">
      <c r="A75" t="inlineStr">
        <is>
          <t>EXA-0019</t>
        </is>
      </c>
      <c r="B75" t="n">
        <v>2024</v>
      </c>
      <c r="C75" s="31" t="n">
        <v>262964</v>
      </c>
      <c r="D75" t="inlineStr">
        <is>
          <t>연간 확정(가상)</t>
        </is>
      </c>
      <c r="E75" t="inlineStr">
        <is>
          <t>KRW 환산, 만원</t>
        </is>
      </c>
      <c r="F75" t="inlineStr">
        <is>
          <t>가상생성</t>
        </is>
      </c>
    </row>
    <row r="76" ht="21" customHeight="1" s="26">
      <c r="A76" t="inlineStr">
        <is>
          <t>EXA-0019</t>
        </is>
      </c>
      <c r="B76" t="n">
        <v>2025</v>
      </c>
      <c r="C76" s="31" t="n">
        <v>228805</v>
      </c>
      <c r="D76" t="inlineStr">
        <is>
          <t>연간 확정(가상)</t>
        </is>
      </c>
      <c r="E76" t="inlineStr">
        <is>
          <t>KRW 환산, 만원</t>
        </is>
      </c>
      <c r="F76" t="inlineStr">
        <is>
          <t>가상생성</t>
        </is>
      </c>
    </row>
    <row r="77" ht="21" customHeight="1" s="26">
      <c r="A77" t="inlineStr">
        <is>
          <t>EXA-0019</t>
        </is>
      </c>
      <c r="B77" t="n">
        <v>2026</v>
      </c>
      <c r="C77" s="31" t="n">
        <v>120428</v>
      </c>
      <c r="D77" t="inlineStr">
        <is>
          <t>1~3분기 누계</t>
        </is>
      </c>
      <c r="E77" t="inlineStr">
        <is>
          <t>KRW 환산, 만원</t>
        </is>
      </c>
      <c r="F77" t="inlineStr">
        <is>
          <t>가상생성</t>
        </is>
      </c>
    </row>
    <row r="78" ht="21" customHeight="1" s="26">
      <c r="A78" t="inlineStr">
        <is>
          <t>EXA-0020</t>
        </is>
      </c>
      <c r="B78" t="n">
        <v>2023</v>
      </c>
      <c r="C78" s="31" t="n">
        <v>34130</v>
      </c>
      <c r="D78" t="inlineStr">
        <is>
          <t>연간 확정(가상)</t>
        </is>
      </c>
      <c r="E78" t="inlineStr">
        <is>
          <t>KRW 환산, 만원</t>
        </is>
      </c>
      <c r="F78" t="inlineStr">
        <is>
          <t>가상생성</t>
        </is>
      </c>
    </row>
    <row r="79" ht="21" customHeight="1" s="26">
      <c r="A79" t="inlineStr">
        <is>
          <t>EXA-0020</t>
        </is>
      </c>
      <c r="B79" t="n">
        <v>2024</v>
      </c>
      <c r="C79" s="31" t="n">
        <v>32725</v>
      </c>
      <c r="D79" t="inlineStr">
        <is>
          <t>연간 확정(가상)</t>
        </is>
      </c>
      <c r="E79" t="inlineStr">
        <is>
          <t>KRW 환산, 만원</t>
        </is>
      </c>
      <c r="F79" t="inlineStr">
        <is>
          <t>가상생성</t>
        </is>
      </c>
    </row>
    <row r="80" ht="21" customHeight="1" s="26">
      <c r="A80" t="inlineStr">
        <is>
          <t>EXA-0020</t>
        </is>
      </c>
      <c r="B80" t="n">
        <v>2025</v>
      </c>
      <c r="C80" s="31" t="n">
        <v>35266</v>
      </c>
      <c r="D80" t="inlineStr">
        <is>
          <t>연간 확정(가상)</t>
        </is>
      </c>
      <c r="E80" t="inlineStr">
        <is>
          <t>KRW 환산, 만원</t>
        </is>
      </c>
      <c r="F80" t="inlineStr">
        <is>
          <t>가상생성</t>
        </is>
      </c>
    </row>
    <row r="81" ht="21" customHeight="1" s="26">
      <c r="A81" t="inlineStr">
        <is>
          <t>EXA-0020</t>
        </is>
      </c>
      <c r="B81" t="n">
        <v>2026</v>
      </c>
      <c r="C81" s="31" t="n">
        <v>27524</v>
      </c>
      <c r="D81" t="inlineStr">
        <is>
          <t>1~3분기 누계</t>
        </is>
      </c>
      <c r="E81" t="inlineStr">
        <is>
          <t>KRW 환산, 만원</t>
        </is>
      </c>
      <c r="F81" t="inlineStr">
        <is>
          <t>가상생성</t>
        </is>
      </c>
    </row>
    <row r="82" ht="21" customHeight="1" s="26">
      <c r="A82" t="inlineStr">
        <is>
          <t>EXA-0021</t>
        </is>
      </c>
      <c r="B82" t="n">
        <v>2023</v>
      </c>
      <c r="C82" s="31" t="n">
        <v>34210</v>
      </c>
      <c r="D82" t="inlineStr">
        <is>
          <t>연간 확정(가상)</t>
        </is>
      </c>
      <c r="E82" t="inlineStr">
        <is>
          <t>KRW 환산, 만원</t>
        </is>
      </c>
      <c r="F82" t="inlineStr">
        <is>
          <t>가상생성</t>
        </is>
      </c>
    </row>
    <row r="83" ht="21" customHeight="1" s="26">
      <c r="A83" t="inlineStr">
        <is>
          <t>EXA-0021</t>
        </is>
      </c>
      <c r="B83" t="n">
        <v>2024</v>
      </c>
      <c r="C83" s="31" t="n">
        <v>25405</v>
      </c>
      <c r="D83" t="inlineStr">
        <is>
          <t>연간 확정(가상)</t>
        </is>
      </c>
      <c r="E83" t="inlineStr">
        <is>
          <t>KRW 환산, 만원</t>
        </is>
      </c>
      <c r="F83" t="inlineStr">
        <is>
          <t>가상생성</t>
        </is>
      </c>
    </row>
    <row r="84" ht="21" customHeight="1" s="26">
      <c r="A84" t="inlineStr">
        <is>
          <t>EXA-0021</t>
        </is>
      </c>
      <c r="B84" t="n">
        <v>2025</v>
      </c>
      <c r="C84" s="31" t="n">
        <v>37922</v>
      </c>
      <c r="D84" t="inlineStr">
        <is>
          <t>연간 확정(가상)</t>
        </is>
      </c>
      <c r="E84" t="inlineStr">
        <is>
          <t>KRW 환산, 만원</t>
        </is>
      </c>
      <c r="F84" t="inlineStr">
        <is>
          <t>가상생성</t>
        </is>
      </c>
    </row>
    <row r="85" ht="21" customHeight="1" s="26">
      <c r="A85" t="inlineStr">
        <is>
          <t>EXA-0021</t>
        </is>
      </c>
      <c r="B85" t="n">
        <v>2026</v>
      </c>
      <c r="C85" s="31" t="n">
        <v>32191</v>
      </c>
      <c r="D85" t="inlineStr">
        <is>
          <t>1~3분기 누계</t>
        </is>
      </c>
      <c r="E85" t="inlineStr">
        <is>
          <t>KRW 환산, 만원</t>
        </is>
      </c>
      <c r="F85" t="inlineStr">
        <is>
          <t>가상생성</t>
        </is>
      </c>
    </row>
    <row r="86" ht="21" customHeight="1" s="26">
      <c r="A86" t="inlineStr">
        <is>
          <t>EXA-0022</t>
        </is>
      </c>
      <c r="B86" t="n">
        <v>2023</v>
      </c>
      <c r="C86" s="31" t="n">
        <v>220653</v>
      </c>
      <c r="D86" t="inlineStr">
        <is>
          <t>연간 확정(가상)</t>
        </is>
      </c>
      <c r="E86" t="inlineStr">
        <is>
          <t>KRW 환산, 만원</t>
        </is>
      </c>
      <c r="F86" t="inlineStr">
        <is>
          <t>가상생성</t>
        </is>
      </c>
    </row>
    <row r="87" ht="21" customHeight="1" s="26">
      <c r="A87" t="inlineStr">
        <is>
          <t>EXA-0022</t>
        </is>
      </c>
      <c r="B87" t="n">
        <v>2024</v>
      </c>
      <c r="C87" s="31" t="n">
        <v>289909</v>
      </c>
      <c r="D87" t="inlineStr">
        <is>
          <t>연간 확정(가상)</t>
        </is>
      </c>
      <c r="E87" t="inlineStr">
        <is>
          <t>KRW 환산, 만원</t>
        </is>
      </c>
      <c r="F87" t="inlineStr">
        <is>
          <t>가상생성</t>
        </is>
      </c>
    </row>
    <row r="88" ht="21" customHeight="1" s="26">
      <c r="A88" t="inlineStr">
        <is>
          <t>EXA-0022</t>
        </is>
      </c>
      <c r="B88" t="n">
        <v>2025</v>
      </c>
      <c r="C88" s="31" t="n">
        <v>373656</v>
      </c>
      <c r="D88" t="inlineStr">
        <is>
          <t>연간 확정(가상)</t>
        </is>
      </c>
      <c r="E88" t="inlineStr">
        <is>
          <t>KRW 환산, 만원</t>
        </is>
      </c>
      <c r="F88" t="inlineStr">
        <is>
          <t>가상생성</t>
        </is>
      </c>
    </row>
    <row r="89" ht="21" customHeight="1" s="26">
      <c r="A89" t="inlineStr">
        <is>
          <t>EXA-0022</t>
        </is>
      </c>
      <c r="B89" t="n">
        <v>2026</v>
      </c>
      <c r="C89" s="31" t="n">
        <v>156527</v>
      </c>
      <c r="D89" t="inlineStr">
        <is>
          <t>1~3분기 누계</t>
        </is>
      </c>
      <c r="E89" t="inlineStr">
        <is>
          <t>KRW 환산, 만원</t>
        </is>
      </c>
      <c r="F89" t="inlineStr">
        <is>
          <t>가상생성</t>
        </is>
      </c>
    </row>
    <row r="90" ht="21" customHeight="1" s="26">
      <c r="A90" t="inlineStr">
        <is>
          <t>EXA-0023</t>
        </is>
      </c>
      <c r="B90" t="n">
        <v>2023</v>
      </c>
      <c r="C90" s="31" t="n">
        <v>182739</v>
      </c>
      <c r="D90" t="inlineStr">
        <is>
          <t>연간 확정(가상)</t>
        </is>
      </c>
      <c r="E90" t="inlineStr">
        <is>
          <t>KRW 환산, 만원</t>
        </is>
      </c>
      <c r="F90" t="inlineStr">
        <is>
          <t>가상생성</t>
        </is>
      </c>
    </row>
    <row r="91" ht="21" customHeight="1" s="26">
      <c r="A91" t="inlineStr">
        <is>
          <t>EXA-0023</t>
        </is>
      </c>
      <c r="B91" t="n">
        <v>2024</v>
      </c>
      <c r="C91" s="31" t="n">
        <v>214045</v>
      </c>
      <c r="D91" t="inlineStr">
        <is>
          <t>연간 확정(가상)</t>
        </is>
      </c>
      <c r="E91" t="inlineStr">
        <is>
          <t>KRW 환산, 만원</t>
        </is>
      </c>
      <c r="F91" t="inlineStr">
        <is>
          <t>가상생성</t>
        </is>
      </c>
    </row>
    <row r="92" ht="21" customHeight="1" s="26">
      <c r="A92" t="inlineStr">
        <is>
          <t>EXA-0023</t>
        </is>
      </c>
      <c r="B92" t="n">
        <v>2025</v>
      </c>
      <c r="C92" s="31" t="n">
        <v>142874</v>
      </c>
      <c r="D92" t="inlineStr">
        <is>
          <t>연간 확정(가상)</t>
        </is>
      </c>
      <c r="E92" t="inlineStr">
        <is>
          <t>KRW 환산, 만원</t>
        </is>
      </c>
      <c r="F92" t="inlineStr">
        <is>
          <t>가상생성</t>
        </is>
      </c>
    </row>
    <row r="93" ht="21" customHeight="1" s="26">
      <c r="A93" t="inlineStr">
        <is>
          <t>EXA-0023</t>
        </is>
      </c>
      <c r="B93" t="n">
        <v>2026</v>
      </c>
      <c r="C93" s="31" t="n">
        <v>96720</v>
      </c>
      <c r="D93" t="inlineStr">
        <is>
          <t>1~3분기 누계</t>
        </is>
      </c>
      <c r="E93" t="inlineStr">
        <is>
          <t>KRW 환산, 만원</t>
        </is>
      </c>
      <c r="F93" t="inlineStr">
        <is>
          <t>가상생성</t>
        </is>
      </c>
    </row>
    <row r="94" ht="21" customHeight="1" s="26">
      <c r="A94" t="inlineStr">
        <is>
          <t>EXA-0024</t>
        </is>
      </c>
      <c r="B94" t="n">
        <v>2023</v>
      </c>
      <c r="C94" s="31" t="n">
        <v>69179</v>
      </c>
      <c r="D94" t="inlineStr">
        <is>
          <t>연간 확정(가상)</t>
        </is>
      </c>
      <c r="E94" t="inlineStr">
        <is>
          <t>KRW 환산, 만원</t>
        </is>
      </c>
      <c r="F94" t="inlineStr">
        <is>
          <t>가상생성</t>
        </is>
      </c>
    </row>
    <row r="95" ht="21" customHeight="1" s="26">
      <c r="A95" t="inlineStr">
        <is>
          <t>EXA-0024</t>
        </is>
      </c>
      <c r="B95" t="n">
        <v>2024</v>
      </c>
      <c r="C95" s="31" t="n">
        <v>83645</v>
      </c>
      <c r="D95" t="inlineStr">
        <is>
          <t>연간 확정(가상)</t>
        </is>
      </c>
      <c r="E95" t="inlineStr">
        <is>
          <t>KRW 환산, 만원</t>
        </is>
      </c>
      <c r="F95" t="inlineStr">
        <is>
          <t>가상생성</t>
        </is>
      </c>
    </row>
    <row r="96" ht="21" customHeight="1" s="26">
      <c r="A96" t="inlineStr">
        <is>
          <t>EXA-0024</t>
        </is>
      </c>
      <c r="B96" t="n">
        <v>2025</v>
      </c>
      <c r="C96" s="31" t="n">
        <v>133372</v>
      </c>
      <c r="D96" t="inlineStr">
        <is>
          <t>연간 확정(가상)</t>
        </is>
      </c>
      <c r="E96" t="inlineStr">
        <is>
          <t>KRW 환산, 만원</t>
        </is>
      </c>
      <c r="F96" t="inlineStr">
        <is>
          <t>가상생성</t>
        </is>
      </c>
    </row>
    <row r="97" ht="21" customHeight="1" s="26">
      <c r="A97" t="inlineStr">
        <is>
          <t>EXA-0024</t>
        </is>
      </c>
      <c r="B97" t="n">
        <v>2026</v>
      </c>
      <c r="C97" s="31" t="n">
        <v>116785</v>
      </c>
      <c r="D97" t="inlineStr">
        <is>
          <t>1~3분기 누계</t>
        </is>
      </c>
      <c r="E97" t="inlineStr">
        <is>
          <t>KRW 환산, 만원</t>
        </is>
      </c>
      <c r="F97" t="inlineStr">
        <is>
          <t>가상생성</t>
        </is>
      </c>
    </row>
    <row r="98" ht="21" customHeight="1" s="26">
      <c r="A98" t="inlineStr">
        <is>
          <t>EXA-0025</t>
        </is>
      </c>
      <c r="B98" t="n">
        <v>2023</v>
      </c>
      <c r="C98" s="31" t="n">
        <v>129564</v>
      </c>
      <c r="D98" t="inlineStr">
        <is>
          <t>연간 확정(가상)</t>
        </is>
      </c>
      <c r="E98" t="inlineStr">
        <is>
          <t>KRW 환산, 만원</t>
        </is>
      </c>
      <c r="F98" t="inlineStr">
        <is>
          <t>가상생성</t>
        </is>
      </c>
    </row>
    <row r="99" ht="21" customHeight="1" s="26">
      <c r="A99" t="inlineStr">
        <is>
          <t>EXA-0025</t>
        </is>
      </c>
      <c r="B99" t="n">
        <v>2024</v>
      </c>
      <c r="C99" s="31" t="n">
        <v>139386</v>
      </c>
      <c r="D99" t="inlineStr">
        <is>
          <t>연간 확정(가상)</t>
        </is>
      </c>
      <c r="E99" t="inlineStr">
        <is>
          <t>KRW 환산, 만원</t>
        </is>
      </c>
      <c r="F99" t="inlineStr">
        <is>
          <t>가상생성</t>
        </is>
      </c>
    </row>
    <row r="100" ht="21" customHeight="1" s="26">
      <c r="A100" t="inlineStr">
        <is>
          <t>EXA-0025</t>
        </is>
      </c>
      <c r="B100" t="n">
        <v>2025</v>
      </c>
      <c r="C100" s="31" t="n">
        <v>102075</v>
      </c>
      <c r="D100" t="inlineStr">
        <is>
          <t>연간 확정(가상)</t>
        </is>
      </c>
      <c r="E100" t="inlineStr">
        <is>
          <t>KRW 환산, 만원</t>
        </is>
      </c>
      <c r="F100" t="inlineStr">
        <is>
          <t>가상생성</t>
        </is>
      </c>
    </row>
    <row r="101" ht="21" customHeight="1" s="26">
      <c r="A101" t="inlineStr">
        <is>
          <t>EXA-0025</t>
        </is>
      </c>
      <c r="B101" t="n">
        <v>2026</v>
      </c>
      <c r="C101" s="31" t="n">
        <v>48153</v>
      </c>
      <c r="D101" t="inlineStr">
        <is>
          <t>1~3분기 누계</t>
        </is>
      </c>
      <c r="E101" t="inlineStr">
        <is>
          <t>KRW 환산, 만원</t>
        </is>
      </c>
      <c r="F101" t="inlineStr">
        <is>
          <t>가상생성</t>
        </is>
      </c>
    </row>
    <row r="102" ht="21" customHeight="1" s="26">
      <c r="A102" t="inlineStr">
        <is>
          <t>EXA-0026</t>
        </is>
      </c>
      <c r="B102" t="n">
        <v>2023</v>
      </c>
      <c r="C102" s="31" t="n">
        <v>99968</v>
      </c>
      <c r="D102" t="inlineStr">
        <is>
          <t>연간 확정(가상)</t>
        </is>
      </c>
      <c r="E102" t="inlineStr">
        <is>
          <t>KRW 환산, 만원</t>
        </is>
      </c>
      <c r="F102" t="inlineStr">
        <is>
          <t>가상생성</t>
        </is>
      </c>
    </row>
    <row r="103" ht="21" customHeight="1" s="26">
      <c r="A103" t="inlineStr">
        <is>
          <t>EXA-0026</t>
        </is>
      </c>
      <c r="B103" t="n">
        <v>2024</v>
      </c>
      <c r="C103" s="31" t="n">
        <v>136280</v>
      </c>
      <c r="D103" t="inlineStr">
        <is>
          <t>연간 확정(가상)</t>
        </is>
      </c>
      <c r="E103" t="inlineStr">
        <is>
          <t>KRW 환산, 만원</t>
        </is>
      </c>
      <c r="F103" t="inlineStr">
        <is>
          <t>가상생성</t>
        </is>
      </c>
    </row>
    <row r="104" ht="21" customHeight="1" s="26">
      <c r="A104" t="inlineStr">
        <is>
          <t>EXA-0026</t>
        </is>
      </c>
      <c r="B104" t="n">
        <v>2025</v>
      </c>
      <c r="C104" s="31" t="n">
        <v>221495</v>
      </c>
      <c r="D104" t="inlineStr">
        <is>
          <t>연간 확정(가상)</t>
        </is>
      </c>
      <c r="E104" t="inlineStr">
        <is>
          <t>KRW 환산, 만원</t>
        </is>
      </c>
      <c r="F104" t="inlineStr">
        <is>
          <t>가상생성</t>
        </is>
      </c>
    </row>
    <row r="105" ht="21" customHeight="1" s="26">
      <c r="A105" t="inlineStr">
        <is>
          <t>EXA-0026</t>
        </is>
      </c>
      <c r="B105" t="n">
        <v>2026</v>
      </c>
      <c r="C105" s="31" t="n">
        <v>102180</v>
      </c>
      <c r="D105" t="inlineStr">
        <is>
          <t>1~3분기 누계</t>
        </is>
      </c>
      <c r="E105" t="inlineStr">
        <is>
          <t>KRW 환산, 만원</t>
        </is>
      </c>
      <c r="F105" t="inlineStr">
        <is>
          <t>가상생성</t>
        </is>
      </c>
    </row>
    <row r="106" ht="21" customHeight="1" s="26">
      <c r="A106" t="inlineStr">
        <is>
          <t>EXA-0027</t>
        </is>
      </c>
      <c r="B106" t="n">
        <v>2023</v>
      </c>
      <c r="C106" s="31" t="n">
        <v>177618</v>
      </c>
      <c r="D106" t="inlineStr">
        <is>
          <t>연간 확정(가상)</t>
        </is>
      </c>
      <c r="E106" t="inlineStr">
        <is>
          <t>KRW 환산, 만원</t>
        </is>
      </c>
      <c r="F106" t="inlineStr">
        <is>
          <t>가상생성</t>
        </is>
      </c>
    </row>
    <row r="107" ht="21" customHeight="1" s="26">
      <c r="A107" t="inlineStr">
        <is>
          <t>EXA-0027</t>
        </is>
      </c>
      <c r="B107" t="n">
        <v>2024</v>
      </c>
      <c r="C107" s="31" t="n">
        <v>154805</v>
      </c>
      <c r="D107" t="inlineStr">
        <is>
          <t>연간 확정(가상)</t>
        </is>
      </c>
      <c r="E107" t="inlineStr">
        <is>
          <t>KRW 환산, 만원</t>
        </is>
      </c>
      <c r="F107" t="inlineStr">
        <is>
          <t>가상생성</t>
        </is>
      </c>
    </row>
    <row r="108" ht="21" customHeight="1" s="26">
      <c r="A108" t="inlineStr">
        <is>
          <t>EXA-0027</t>
        </is>
      </c>
      <c r="B108" t="n">
        <v>2025</v>
      </c>
      <c r="C108" s="31" t="n">
        <v>170808</v>
      </c>
      <c r="D108" t="inlineStr">
        <is>
          <t>연간 확정(가상)</t>
        </is>
      </c>
      <c r="E108" t="inlineStr">
        <is>
          <t>KRW 환산, 만원</t>
        </is>
      </c>
      <c r="F108" t="inlineStr">
        <is>
          <t>가상생성</t>
        </is>
      </c>
    </row>
    <row r="109" ht="21" customHeight="1" s="26">
      <c r="A109" t="inlineStr">
        <is>
          <t>EXA-0027</t>
        </is>
      </c>
      <c r="B109" t="n">
        <v>2026</v>
      </c>
      <c r="C109" s="31" t="n">
        <v>146465</v>
      </c>
      <c r="D109" t="inlineStr">
        <is>
          <t>1~3분기 누계</t>
        </is>
      </c>
      <c r="E109" t="inlineStr">
        <is>
          <t>KRW 환산, 만원</t>
        </is>
      </c>
      <c r="F109" t="inlineStr">
        <is>
          <t>가상생성</t>
        </is>
      </c>
    </row>
    <row r="110" ht="21" customHeight="1" s="26">
      <c r="A110" t="inlineStr">
        <is>
          <t>EXA-0028</t>
        </is>
      </c>
      <c r="B110" t="n">
        <v>2023</v>
      </c>
      <c r="C110" s="31" t="n">
        <v>53746</v>
      </c>
      <c r="D110" t="inlineStr">
        <is>
          <t>연간 확정(가상)</t>
        </is>
      </c>
      <c r="E110" t="inlineStr">
        <is>
          <t>KRW 환산, 만원</t>
        </is>
      </c>
      <c r="F110" t="inlineStr">
        <is>
          <t>가상생성</t>
        </is>
      </c>
    </row>
    <row r="111" ht="21" customHeight="1" s="26">
      <c r="A111" t="inlineStr">
        <is>
          <t>EXA-0028</t>
        </is>
      </c>
      <c r="B111" t="n">
        <v>2024</v>
      </c>
      <c r="C111" s="31" t="n">
        <v>52051</v>
      </c>
      <c r="D111" t="inlineStr">
        <is>
          <t>연간 확정(가상)</t>
        </is>
      </c>
      <c r="E111" t="inlineStr">
        <is>
          <t>KRW 환산, 만원</t>
        </is>
      </c>
      <c r="F111" t="inlineStr">
        <is>
          <t>가상생성</t>
        </is>
      </c>
    </row>
    <row r="112" ht="21" customHeight="1" s="26">
      <c r="A112" t="inlineStr">
        <is>
          <t>EXA-0028</t>
        </is>
      </c>
      <c r="B112" t="n">
        <v>2025</v>
      </c>
      <c r="C112" s="31" t="n">
        <v>83707</v>
      </c>
      <c r="D112" t="inlineStr">
        <is>
          <t>연간 확정(가상)</t>
        </is>
      </c>
      <c r="E112" t="inlineStr">
        <is>
          <t>KRW 환산, 만원</t>
        </is>
      </c>
      <c r="F112" t="inlineStr">
        <is>
          <t>가상생성</t>
        </is>
      </c>
    </row>
    <row r="113" ht="21" customHeight="1" s="26">
      <c r="A113" t="inlineStr">
        <is>
          <t>EXA-0028</t>
        </is>
      </c>
      <c r="B113" t="n">
        <v>2026</v>
      </c>
      <c r="C113" s="31" t="n">
        <v>43790</v>
      </c>
      <c r="D113" t="inlineStr">
        <is>
          <t>1~3분기 누계</t>
        </is>
      </c>
      <c r="E113" t="inlineStr">
        <is>
          <t>KRW 환산, 만원</t>
        </is>
      </c>
      <c r="F113" t="inlineStr">
        <is>
          <t>가상생성</t>
        </is>
      </c>
    </row>
    <row r="114" ht="21" customHeight="1" s="26">
      <c r="A114" t="inlineStr">
        <is>
          <t>EXA-0029</t>
        </is>
      </c>
      <c r="B114" t="n">
        <v>2023</v>
      </c>
      <c r="C114" s="31" t="n">
        <v>119197</v>
      </c>
      <c r="D114" t="inlineStr">
        <is>
          <t>연간 확정(가상)</t>
        </is>
      </c>
      <c r="E114" t="inlineStr">
        <is>
          <t>KRW 환산, 만원</t>
        </is>
      </c>
      <c r="F114" t="inlineStr">
        <is>
          <t>가상생성</t>
        </is>
      </c>
    </row>
    <row r="115" ht="21" customHeight="1" s="26">
      <c r="A115" t="inlineStr">
        <is>
          <t>EXA-0029</t>
        </is>
      </c>
      <c r="B115" t="n">
        <v>2024</v>
      </c>
      <c r="C115" s="31" t="n">
        <v>100054</v>
      </c>
      <c r="D115" t="inlineStr">
        <is>
          <t>연간 확정(가상)</t>
        </is>
      </c>
      <c r="E115" t="inlineStr">
        <is>
          <t>KRW 환산, 만원</t>
        </is>
      </c>
      <c r="F115" t="inlineStr">
        <is>
          <t>가상생성</t>
        </is>
      </c>
    </row>
    <row r="116" ht="21" customHeight="1" s="26">
      <c r="A116" t="inlineStr">
        <is>
          <t>EXA-0029</t>
        </is>
      </c>
      <c r="B116" t="n">
        <v>2025</v>
      </c>
      <c r="C116" s="31" t="n">
        <v>56664</v>
      </c>
      <c r="D116" t="inlineStr">
        <is>
          <t>연간 확정(가상)</t>
        </is>
      </c>
      <c r="E116" t="inlineStr">
        <is>
          <t>KRW 환산, 만원</t>
        </is>
      </c>
      <c r="F116" t="inlineStr">
        <is>
          <t>가상생성</t>
        </is>
      </c>
    </row>
    <row r="117" ht="21" customHeight="1" s="26">
      <c r="A117" t="inlineStr">
        <is>
          <t>EXA-0029</t>
        </is>
      </c>
      <c r="B117" t="n">
        <v>2026</v>
      </c>
      <c r="C117" s="31" t="n">
        <v>31753</v>
      </c>
      <c r="D117" t="inlineStr">
        <is>
          <t>1~3분기 누계</t>
        </is>
      </c>
      <c r="E117" t="inlineStr">
        <is>
          <t>KRW 환산, 만원</t>
        </is>
      </c>
      <c r="F117" t="inlineStr">
        <is>
          <t>가상생성</t>
        </is>
      </c>
    </row>
    <row r="118" ht="21" customHeight="1" s="26">
      <c r="A118" t="inlineStr">
        <is>
          <t>EXA-0030</t>
        </is>
      </c>
      <c r="B118" t="n">
        <v>2023</v>
      </c>
      <c r="C118" s="31" t="n">
        <v>121386</v>
      </c>
      <c r="D118" t="inlineStr">
        <is>
          <t>연간 확정(가상)</t>
        </is>
      </c>
      <c r="E118" t="inlineStr">
        <is>
          <t>KRW 환산, 만원</t>
        </is>
      </c>
      <c r="F118" t="inlineStr">
        <is>
          <t>가상생성</t>
        </is>
      </c>
    </row>
    <row r="119" ht="21" customHeight="1" s="26">
      <c r="A119" t="inlineStr">
        <is>
          <t>EXA-0030</t>
        </is>
      </c>
      <c r="B119" t="n">
        <v>2024</v>
      </c>
      <c r="C119" s="31" t="n">
        <v>109475</v>
      </c>
      <c r="D119" t="inlineStr">
        <is>
          <t>연간 확정(가상)</t>
        </is>
      </c>
      <c r="E119" t="inlineStr">
        <is>
          <t>KRW 환산, 만원</t>
        </is>
      </c>
      <c r="F119" t="inlineStr">
        <is>
          <t>가상생성</t>
        </is>
      </c>
    </row>
    <row r="120" ht="21" customHeight="1" s="26">
      <c r="A120" t="inlineStr">
        <is>
          <t>EXA-0030</t>
        </is>
      </c>
      <c r="B120" t="n">
        <v>2025</v>
      </c>
      <c r="C120" s="31" t="n">
        <v>120752</v>
      </c>
      <c r="D120" t="inlineStr">
        <is>
          <t>연간 확정(가상)</t>
        </is>
      </c>
      <c r="E120" t="inlineStr">
        <is>
          <t>KRW 환산, 만원</t>
        </is>
      </c>
      <c r="F120" t="inlineStr">
        <is>
          <t>가상생성</t>
        </is>
      </c>
    </row>
    <row r="121" ht="21" customHeight="1" s="26">
      <c r="A121" t="inlineStr">
        <is>
          <t>EXA-0030</t>
        </is>
      </c>
      <c r="B121" t="n">
        <v>2026</v>
      </c>
      <c r="C121" s="31" t="n">
        <v>42107</v>
      </c>
      <c r="D121" t="inlineStr">
        <is>
          <t>1~3분기 누계</t>
        </is>
      </c>
      <c r="E121" t="inlineStr">
        <is>
          <t>KRW 환산, 만원</t>
        </is>
      </c>
      <c r="F121" t="inlineStr">
        <is>
          <t>가상생성</t>
        </is>
      </c>
    </row>
    <row r="122" ht="21" customHeight="1" s="26">
      <c r="A122" t="inlineStr">
        <is>
          <t>EXA-0031</t>
        </is>
      </c>
      <c r="B122" t="n">
        <v>2023</v>
      </c>
      <c r="C122" s="31" t="n">
        <v>182254</v>
      </c>
      <c r="D122" t="inlineStr">
        <is>
          <t>연간 확정(가상)</t>
        </is>
      </c>
      <c r="E122" t="inlineStr">
        <is>
          <t>KRW 환산, 만원</t>
        </is>
      </c>
      <c r="F122" t="inlineStr">
        <is>
          <t>가상생성</t>
        </is>
      </c>
    </row>
    <row r="123" ht="21" customHeight="1" s="26">
      <c r="A123" t="inlineStr">
        <is>
          <t>EXA-0031</t>
        </is>
      </c>
      <c r="B123" t="n">
        <v>2024</v>
      </c>
      <c r="C123" s="31" t="n">
        <v>220261</v>
      </c>
      <c r="D123" t="inlineStr">
        <is>
          <t>연간 확정(가상)</t>
        </is>
      </c>
      <c r="E123" t="inlineStr">
        <is>
          <t>KRW 환산, 만원</t>
        </is>
      </c>
      <c r="F123" t="inlineStr">
        <is>
          <t>가상생성</t>
        </is>
      </c>
    </row>
    <row r="124" ht="21" customHeight="1" s="26">
      <c r="A124" t="inlineStr">
        <is>
          <t>EXA-0031</t>
        </is>
      </c>
      <c r="B124" t="n">
        <v>2025</v>
      </c>
      <c r="C124" s="31" t="n">
        <v>362055</v>
      </c>
      <c r="D124" t="inlineStr">
        <is>
          <t>연간 확정(가상)</t>
        </is>
      </c>
      <c r="E124" t="inlineStr">
        <is>
          <t>KRW 환산, 만원</t>
        </is>
      </c>
      <c r="F124" t="inlineStr">
        <is>
          <t>가상생성</t>
        </is>
      </c>
    </row>
    <row r="125" ht="21" customHeight="1" s="26">
      <c r="A125" t="inlineStr">
        <is>
          <t>EXA-0031</t>
        </is>
      </c>
      <c r="B125" t="n">
        <v>2026</v>
      </c>
      <c r="C125" s="31" t="n">
        <v>231129</v>
      </c>
      <c r="D125" t="inlineStr">
        <is>
          <t>1~3분기 누계</t>
        </is>
      </c>
      <c r="E125" t="inlineStr">
        <is>
          <t>KRW 환산, 만원</t>
        </is>
      </c>
      <c r="F125" t="inlineStr">
        <is>
          <t>가상생성</t>
        </is>
      </c>
    </row>
    <row r="126" ht="21" customHeight="1" s="26">
      <c r="A126" t="inlineStr">
        <is>
          <t>EXA-0032</t>
        </is>
      </c>
      <c r="B126" t="n">
        <v>2023</v>
      </c>
      <c r="C126" s="31" t="n">
        <v>223076</v>
      </c>
      <c r="D126" t="inlineStr">
        <is>
          <t>연간 확정(가상)</t>
        </is>
      </c>
      <c r="E126" t="inlineStr">
        <is>
          <t>KRW 환산, 만원</t>
        </is>
      </c>
      <c r="F126" t="inlineStr">
        <is>
          <t>가상생성</t>
        </is>
      </c>
    </row>
    <row r="127" ht="21" customHeight="1" s="26">
      <c r="A127" t="inlineStr">
        <is>
          <t>EXA-0032</t>
        </is>
      </c>
      <c r="B127" t="n">
        <v>2024</v>
      </c>
      <c r="C127" s="31" t="n">
        <v>298699</v>
      </c>
      <c r="D127" t="inlineStr">
        <is>
          <t>연간 확정(가상)</t>
        </is>
      </c>
      <c r="E127" t="inlineStr">
        <is>
          <t>KRW 환산, 만원</t>
        </is>
      </c>
      <c r="F127" t="inlineStr">
        <is>
          <t>가상생성</t>
        </is>
      </c>
    </row>
    <row r="128" ht="21" customHeight="1" s="26">
      <c r="A128" t="inlineStr">
        <is>
          <t>EXA-0032</t>
        </is>
      </c>
      <c r="B128" t="n">
        <v>2025</v>
      </c>
      <c r="C128" s="31" t="n">
        <v>430177</v>
      </c>
      <c r="D128" t="inlineStr">
        <is>
          <t>연간 확정(가상)</t>
        </is>
      </c>
      <c r="E128" t="inlineStr">
        <is>
          <t>KRW 환산, 만원</t>
        </is>
      </c>
      <c r="F128" t="inlineStr">
        <is>
          <t>가상생성</t>
        </is>
      </c>
    </row>
    <row r="129" ht="21" customHeight="1" s="26">
      <c r="A129" t="inlineStr">
        <is>
          <t>EXA-0032</t>
        </is>
      </c>
      <c r="B129" t="n">
        <v>2026</v>
      </c>
      <c r="C129" s="31" t="n">
        <v>348750</v>
      </c>
      <c r="D129" t="inlineStr">
        <is>
          <t>1~3분기 누계</t>
        </is>
      </c>
      <c r="E129" t="inlineStr">
        <is>
          <t>KRW 환산, 만원</t>
        </is>
      </c>
      <c r="F129" t="inlineStr">
        <is>
          <t>가상생성</t>
        </is>
      </c>
    </row>
    <row r="130" ht="21" customHeight="1" s="26">
      <c r="A130" t="inlineStr">
        <is>
          <t>EXA-0033</t>
        </is>
      </c>
      <c r="B130" t="n">
        <v>2023</v>
      </c>
      <c r="C130" s="31" t="n">
        <v>84477</v>
      </c>
      <c r="D130" t="inlineStr">
        <is>
          <t>연간 확정(가상)</t>
        </is>
      </c>
      <c r="E130" t="inlineStr">
        <is>
          <t>KRW 환산, 만원</t>
        </is>
      </c>
      <c r="F130" t="inlineStr">
        <is>
          <t>가상생성</t>
        </is>
      </c>
    </row>
    <row r="131" ht="21" customHeight="1" s="26">
      <c r="A131" t="inlineStr">
        <is>
          <t>EXA-0033</t>
        </is>
      </c>
      <c r="B131" t="n">
        <v>2024</v>
      </c>
      <c r="C131" s="31" t="n">
        <v>98882</v>
      </c>
      <c r="D131" t="inlineStr">
        <is>
          <t>연간 확정(가상)</t>
        </is>
      </c>
      <c r="E131" t="inlineStr">
        <is>
          <t>KRW 환산, 만원</t>
        </is>
      </c>
      <c r="F131" t="inlineStr">
        <is>
          <t>가상생성</t>
        </is>
      </c>
    </row>
    <row r="132" ht="21" customHeight="1" s="26">
      <c r="A132" t="inlineStr">
        <is>
          <t>EXA-0033</t>
        </is>
      </c>
      <c r="B132" t="n">
        <v>2025</v>
      </c>
      <c r="C132" s="31" t="n">
        <v>55893</v>
      </c>
      <c r="D132" t="inlineStr">
        <is>
          <t>연간 확정(가상)</t>
        </is>
      </c>
      <c r="E132" t="inlineStr">
        <is>
          <t>KRW 환산, 만원</t>
        </is>
      </c>
      <c r="F132" t="inlineStr">
        <is>
          <t>가상생성</t>
        </is>
      </c>
    </row>
    <row r="133" ht="21" customHeight="1" s="26">
      <c r="A133" t="inlineStr">
        <is>
          <t>EXA-0033</t>
        </is>
      </c>
      <c r="B133" t="n">
        <v>2026</v>
      </c>
      <c r="C133" s="31" t="n">
        <v>22522</v>
      </c>
      <c r="D133" t="inlineStr">
        <is>
          <t>1~3분기 누계</t>
        </is>
      </c>
      <c r="E133" t="inlineStr">
        <is>
          <t>KRW 환산, 만원</t>
        </is>
      </c>
      <c r="F133" t="inlineStr">
        <is>
          <t>가상생성</t>
        </is>
      </c>
    </row>
    <row r="134" ht="21" customHeight="1" s="26">
      <c r="A134" t="inlineStr">
        <is>
          <t>EXA-0034</t>
        </is>
      </c>
      <c r="B134" t="n">
        <v>2023</v>
      </c>
      <c r="C134" s="31" t="n">
        <v>172798</v>
      </c>
      <c r="D134" t="inlineStr">
        <is>
          <t>연간 확정(가상)</t>
        </is>
      </c>
      <c r="E134" t="inlineStr">
        <is>
          <t>KRW 환산, 만원</t>
        </is>
      </c>
      <c r="F134" t="inlineStr">
        <is>
          <t>가상생성</t>
        </is>
      </c>
    </row>
    <row r="135" ht="21" customHeight="1" s="26">
      <c r="A135" t="inlineStr">
        <is>
          <t>EXA-0034</t>
        </is>
      </c>
      <c r="B135" t="n">
        <v>2024</v>
      </c>
      <c r="C135" s="31" t="n">
        <v>239285</v>
      </c>
      <c r="D135" t="inlineStr">
        <is>
          <t>연간 확정(가상)</t>
        </is>
      </c>
      <c r="E135" t="inlineStr">
        <is>
          <t>KRW 환산, 만원</t>
        </is>
      </c>
      <c r="F135" t="inlineStr">
        <is>
          <t>가상생성</t>
        </is>
      </c>
    </row>
    <row r="136" ht="21" customHeight="1" s="26">
      <c r="A136" t="inlineStr">
        <is>
          <t>EXA-0034</t>
        </is>
      </c>
      <c r="B136" t="n">
        <v>2025</v>
      </c>
      <c r="C136" s="31" t="n">
        <v>242956</v>
      </c>
      <c r="D136" t="inlineStr">
        <is>
          <t>연간 확정(가상)</t>
        </is>
      </c>
      <c r="E136" t="inlineStr">
        <is>
          <t>KRW 환산, 만원</t>
        </is>
      </c>
      <c r="F136" t="inlineStr">
        <is>
          <t>가상생성</t>
        </is>
      </c>
    </row>
    <row r="137" ht="21" customHeight="1" s="26">
      <c r="A137" t="inlineStr">
        <is>
          <t>EXA-0034</t>
        </is>
      </c>
      <c r="B137" t="n">
        <v>2026</v>
      </c>
      <c r="C137" s="31" t="n">
        <v>130924</v>
      </c>
      <c r="D137" t="inlineStr">
        <is>
          <t>1~3분기 누계</t>
        </is>
      </c>
      <c r="E137" t="inlineStr">
        <is>
          <t>KRW 환산, 만원</t>
        </is>
      </c>
      <c r="F137" t="inlineStr">
        <is>
          <t>가상생성</t>
        </is>
      </c>
    </row>
    <row r="138" ht="21" customHeight="1" s="26">
      <c r="A138" t="inlineStr">
        <is>
          <t>EXA-0035</t>
        </is>
      </c>
      <c r="B138" t="n">
        <v>2023</v>
      </c>
      <c r="C138" s="31" t="n">
        <v>269203</v>
      </c>
      <c r="D138" t="inlineStr">
        <is>
          <t>연간 확정(가상)</t>
        </is>
      </c>
      <c r="E138" t="inlineStr">
        <is>
          <t>KRW 환산, 만원</t>
        </is>
      </c>
      <c r="F138" t="inlineStr">
        <is>
          <t>가상생성</t>
        </is>
      </c>
    </row>
    <row r="139" ht="21" customHeight="1" s="26">
      <c r="A139" t="inlineStr">
        <is>
          <t>EXA-0035</t>
        </is>
      </c>
      <c r="B139" t="n">
        <v>2024</v>
      </c>
      <c r="C139" s="31" t="n">
        <v>212931</v>
      </c>
      <c r="D139" t="inlineStr">
        <is>
          <t>연간 확정(가상)</t>
        </is>
      </c>
      <c r="E139" t="inlineStr">
        <is>
          <t>KRW 환산, 만원</t>
        </is>
      </c>
      <c r="F139" t="inlineStr">
        <is>
          <t>가상생성</t>
        </is>
      </c>
    </row>
    <row r="140" ht="21" customHeight="1" s="26">
      <c r="A140" t="inlineStr">
        <is>
          <t>EXA-0035</t>
        </is>
      </c>
      <c r="B140" t="n">
        <v>2025</v>
      </c>
      <c r="C140" s="31" t="n">
        <v>188569</v>
      </c>
      <c r="D140" t="inlineStr">
        <is>
          <t>연간 확정(가상)</t>
        </is>
      </c>
      <c r="E140" t="inlineStr">
        <is>
          <t>KRW 환산, 만원</t>
        </is>
      </c>
      <c r="F140" t="inlineStr">
        <is>
          <t>가상생성</t>
        </is>
      </c>
    </row>
    <row r="141" ht="21" customHeight="1" s="26">
      <c r="A141" t="inlineStr">
        <is>
          <t>EXA-0035</t>
        </is>
      </c>
      <c r="B141" t="n">
        <v>2026</v>
      </c>
      <c r="C141" s="31" t="n">
        <v>70342</v>
      </c>
      <c r="D141" t="inlineStr">
        <is>
          <t>1~3분기 누계</t>
        </is>
      </c>
      <c r="E141" t="inlineStr">
        <is>
          <t>KRW 환산, 만원</t>
        </is>
      </c>
      <c r="F141" t="inlineStr">
        <is>
          <t>가상생성</t>
        </is>
      </c>
    </row>
    <row r="142" ht="21" customHeight="1" s="26">
      <c r="A142" t="inlineStr">
        <is>
          <t>EXA-0036</t>
        </is>
      </c>
      <c r="B142" t="n">
        <v>2023</v>
      </c>
      <c r="C142" s="31" t="n">
        <v>192885</v>
      </c>
      <c r="D142" t="inlineStr">
        <is>
          <t>연간 확정(가상)</t>
        </is>
      </c>
      <c r="E142" t="inlineStr">
        <is>
          <t>KRW 환산, 만원</t>
        </is>
      </c>
      <c r="F142" t="inlineStr">
        <is>
          <t>가상생성</t>
        </is>
      </c>
    </row>
    <row r="143" ht="21" customHeight="1" s="26">
      <c r="A143" t="inlineStr">
        <is>
          <t>EXA-0036</t>
        </is>
      </c>
      <c r="B143" t="n">
        <v>2024</v>
      </c>
      <c r="C143" s="31" t="n">
        <v>266228</v>
      </c>
      <c r="D143" t="inlineStr">
        <is>
          <t>연간 확정(가상)</t>
        </is>
      </c>
      <c r="E143" t="inlineStr">
        <is>
          <t>KRW 환산, 만원</t>
        </is>
      </c>
      <c r="F143" t="inlineStr">
        <is>
          <t>가상생성</t>
        </is>
      </c>
    </row>
    <row r="144" ht="21" customHeight="1" s="26">
      <c r="A144" t="inlineStr">
        <is>
          <t>EXA-0036</t>
        </is>
      </c>
      <c r="B144" t="n">
        <v>2025</v>
      </c>
      <c r="C144" s="31" t="n">
        <v>259282</v>
      </c>
      <c r="D144" t="inlineStr">
        <is>
          <t>연간 확정(가상)</t>
        </is>
      </c>
      <c r="E144" t="inlineStr">
        <is>
          <t>KRW 환산, 만원</t>
        </is>
      </c>
      <c r="F144" t="inlineStr">
        <is>
          <t>가상생성</t>
        </is>
      </c>
    </row>
    <row r="145" ht="21" customHeight="1" s="26">
      <c r="A145" t="inlineStr">
        <is>
          <t>EXA-0036</t>
        </is>
      </c>
      <c r="B145" t="n">
        <v>2026</v>
      </c>
      <c r="C145" s="31" t="n">
        <v>122278</v>
      </c>
      <c r="D145" t="inlineStr">
        <is>
          <t>1~3분기 누계</t>
        </is>
      </c>
      <c r="E145" t="inlineStr">
        <is>
          <t>KRW 환산, 만원</t>
        </is>
      </c>
      <c r="F145" t="inlineStr">
        <is>
          <t>가상생성</t>
        </is>
      </c>
    </row>
    <row r="146" ht="21" customHeight="1" s="26">
      <c r="A146" t="inlineStr">
        <is>
          <t>EXA-0037</t>
        </is>
      </c>
      <c r="B146" t="n">
        <v>2023</v>
      </c>
      <c r="C146" s="31" t="n">
        <v>82042</v>
      </c>
      <c r="D146" t="inlineStr">
        <is>
          <t>연간 확정(가상)</t>
        </is>
      </c>
      <c r="E146" t="inlineStr">
        <is>
          <t>KRW 환산, 만원</t>
        </is>
      </c>
      <c r="F146" t="inlineStr">
        <is>
          <t>가상생성</t>
        </is>
      </c>
    </row>
    <row r="147" ht="21" customHeight="1" s="26">
      <c r="A147" t="inlineStr">
        <is>
          <t>EXA-0037</t>
        </is>
      </c>
      <c r="B147" t="n">
        <v>2024</v>
      </c>
      <c r="C147" s="31" t="n">
        <v>107385</v>
      </c>
      <c r="D147" t="inlineStr">
        <is>
          <t>연간 확정(가상)</t>
        </is>
      </c>
      <c r="E147" t="inlineStr">
        <is>
          <t>KRW 환산, 만원</t>
        </is>
      </c>
      <c r="F147" t="inlineStr">
        <is>
          <t>가상생성</t>
        </is>
      </c>
    </row>
    <row r="148" ht="21" customHeight="1" s="26">
      <c r="A148" t="inlineStr">
        <is>
          <t>EXA-0037</t>
        </is>
      </c>
      <c r="B148" t="n">
        <v>2025</v>
      </c>
      <c r="C148" s="31" t="n">
        <v>87956</v>
      </c>
      <c r="D148" t="inlineStr">
        <is>
          <t>연간 확정(가상)</t>
        </is>
      </c>
      <c r="E148" t="inlineStr">
        <is>
          <t>KRW 환산, 만원</t>
        </is>
      </c>
      <c r="F148" t="inlineStr">
        <is>
          <t>가상생성</t>
        </is>
      </c>
    </row>
    <row r="149" ht="21" customHeight="1" s="26">
      <c r="A149" t="inlineStr">
        <is>
          <t>EXA-0037</t>
        </is>
      </c>
      <c r="B149" t="n">
        <v>2026</v>
      </c>
      <c r="C149" s="31" t="n">
        <v>31988</v>
      </c>
      <c r="D149" t="inlineStr">
        <is>
          <t>1~3분기 누계</t>
        </is>
      </c>
      <c r="E149" t="inlineStr">
        <is>
          <t>KRW 환산, 만원</t>
        </is>
      </c>
      <c r="F149" t="inlineStr">
        <is>
          <t>가상생성</t>
        </is>
      </c>
    </row>
    <row r="150" ht="21" customHeight="1" s="26">
      <c r="A150" t="inlineStr">
        <is>
          <t>EXA-0038</t>
        </is>
      </c>
      <c r="B150" t="n">
        <v>2023</v>
      </c>
      <c r="C150" s="31" t="n">
        <v>178297</v>
      </c>
      <c r="D150" t="inlineStr">
        <is>
          <t>연간 확정(가상)</t>
        </is>
      </c>
      <c r="E150" t="inlineStr">
        <is>
          <t>KRW 환산, 만원</t>
        </is>
      </c>
      <c r="F150" t="inlineStr">
        <is>
          <t>가상생성</t>
        </is>
      </c>
    </row>
    <row r="151" ht="21" customHeight="1" s="26">
      <c r="A151" t="inlineStr">
        <is>
          <t>EXA-0038</t>
        </is>
      </c>
      <c r="B151" t="n">
        <v>2024</v>
      </c>
      <c r="C151" s="31" t="n">
        <v>240834</v>
      </c>
      <c r="D151" t="inlineStr">
        <is>
          <t>연간 확정(가상)</t>
        </is>
      </c>
      <c r="E151" t="inlineStr">
        <is>
          <t>KRW 환산, 만원</t>
        </is>
      </c>
      <c r="F151" t="inlineStr">
        <is>
          <t>가상생성</t>
        </is>
      </c>
    </row>
    <row r="152" ht="21" customHeight="1" s="26">
      <c r="A152" t="inlineStr">
        <is>
          <t>EXA-0038</t>
        </is>
      </c>
      <c r="B152" t="n">
        <v>2025</v>
      </c>
      <c r="C152" s="31" t="n">
        <v>333251</v>
      </c>
      <c r="D152" t="inlineStr">
        <is>
          <t>연간 확정(가상)</t>
        </is>
      </c>
      <c r="E152" t="inlineStr">
        <is>
          <t>KRW 환산, 만원</t>
        </is>
      </c>
      <c r="F152" t="inlineStr">
        <is>
          <t>가상생성</t>
        </is>
      </c>
    </row>
    <row r="153" ht="21" customHeight="1" s="26">
      <c r="A153" t="inlineStr">
        <is>
          <t>EXA-0038</t>
        </is>
      </c>
      <c r="B153" t="n">
        <v>2026</v>
      </c>
      <c r="C153" s="31" t="n">
        <v>208013</v>
      </c>
      <c r="D153" t="inlineStr">
        <is>
          <t>1~3분기 누계</t>
        </is>
      </c>
      <c r="E153" t="inlineStr">
        <is>
          <t>KRW 환산, 만원</t>
        </is>
      </c>
      <c r="F153" t="inlineStr">
        <is>
          <t>가상생성</t>
        </is>
      </c>
    </row>
    <row r="154" ht="21" customHeight="1" s="26">
      <c r="A154" t="inlineStr">
        <is>
          <t>EXA-0039</t>
        </is>
      </c>
      <c r="B154" t="n">
        <v>2023</v>
      </c>
      <c r="C154" s="31" t="n">
        <v>178776</v>
      </c>
      <c r="D154" t="inlineStr">
        <is>
          <t>연간 확정(가상)</t>
        </is>
      </c>
      <c r="E154" t="inlineStr">
        <is>
          <t>KRW 환산, 만원</t>
        </is>
      </c>
      <c r="F154" t="inlineStr">
        <is>
          <t>가상생성</t>
        </is>
      </c>
    </row>
    <row r="155" ht="21" customHeight="1" s="26">
      <c r="A155" t="inlineStr">
        <is>
          <t>EXA-0039</t>
        </is>
      </c>
      <c r="B155" t="n">
        <v>2024</v>
      </c>
      <c r="C155" s="31" t="n">
        <v>172594</v>
      </c>
      <c r="D155" t="inlineStr">
        <is>
          <t>연간 확정(가상)</t>
        </is>
      </c>
      <c r="E155" t="inlineStr">
        <is>
          <t>KRW 환산, 만원</t>
        </is>
      </c>
      <c r="F155" t="inlineStr">
        <is>
          <t>가상생성</t>
        </is>
      </c>
    </row>
    <row r="156" ht="21" customHeight="1" s="26">
      <c r="A156" t="inlineStr">
        <is>
          <t>EXA-0039</t>
        </is>
      </c>
      <c r="B156" t="n">
        <v>2025</v>
      </c>
      <c r="C156" s="31" t="n">
        <v>239246</v>
      </c>
      <c r="D156" t="inlineStr">
        <is>
          <t>연간 확정(가상)</t>
        </is>
      </c>
      <c r="E156" t="inlineStr">
        <is>
          <t>KRW 환산, 만원</t>
        </is>
      </c>
      <c r="F156" t="inlineStr">
        <is>
          <t>가상생성</t>
        </is>
      </c>
    </row>
    <row r="157" ht="21" customHeight="1" s="26">
      <c r="A157" t="inlineStr">
        <is>
          <t>EXA-0039</t>
        </is>
      </c>
      <c r="B157" t="n">
        <v>2026</v>
      </c>
      <c r="C157" s="31" t="n">
        <v>83719</v>
      </c>
      <c r="D157" t="inlineStr">
        <is>
          <t>1~3분기 누계</t>
        </is>
      </c>
      <c r="E157" t="inlineStr">
        <is>
          <t>KRW 환산, 만원</t>
        </is>
      </c>
      <c r="F157" t="inlineStr">
        <is>
          <t>가상생성</t>
        </is>
      </c>
    </row>
    <row r="158" ht="21" customHeight="1" s="26">
      <c r="A158" t="inlineStr">
        <is>
          <t>EXA-0040</t>
        </is>
      </c>
      <c r="B158" t="n">
        <v>2023</v>
      </c>
      <c r="C158" s="31" t="n">
        <v>78680</v>
      </c>
      <c r="D158" t="inlineStr">
        <is>
          <t>연간 확정(가상)</t>
        </is>
      </c>
      <c r="E158" t="inlineStr">
        <is>
          <t>KRW 환산, 만원</t>
        </is>
      </c>
      <c r="F158" t="inlineStr">
        <is>
          <t>가상생성</t>
        </is>
      </c>
    </row>
    <row r="159" ht="21" customHeight="1" s="26">
      <c r="A159" t="inlineStr">
        <is>
          <t>EXA-0040</t>
        </is>
      </c>
      <c r="B159" t="n">
        <v>2024</v>
      </c>
      <c r="C159" s="31" t="n">
        <v>86976</v>
      </c>
      <c r="D159" t="inlineStr">
        <is>
          <t>연간 확정(가상)</t>
        </is>
      </c>
      <c r="E159" t="inlineStr">
        <is>
          <t>KRW 환산, 만원</t>
        </is>
      </c>
      <c r="F159" t="inlineStr">
        <is>
          <t>가상생성</t>
        </is>
      </c>
    </row>
    <row r="160" ht="21" customHeight="1" s="26">
      <c r="A160" t="inlineStr">
        <is>
          <t>EXA-0040</t>
        </is>
      </c>
      <c r="B160" t="n">
        <v>2025</v>
      </c>
      <c r="C160" s="31" t="n">
        <v>49801</v>
      </c>
      <c r="D160" t="inlineStr">
        <is>
          <t>연간 확정(가상)</t>
        </is>
      </c>
      <c r="E160" t="inlineStr">
        <is>
          <t>KRW 환산, 만원</t>
        </is>
      </c>
      <c r="F160" t="inlineStr">
        <is>
          <t>가상생성</t>
        </is>
      </c>
    </row>
    <row r="161" ht="21" customHeight="1" s="26">
      <c r="A161" t="inlineStr">
        <is>
          <t>EXA-0040</t>
        </is>
      </c>
      <c r="B161" t="n">
        <v>2026</v>
      </c>
      <c r="C161" s="31" t="n">
        <v>17462</v>
      </c>
      <c r="D161" t="inlineStr">
        <is>
          <t>1~3분기 누계</t>
        </is>
      </c>
      <c r="E161" t="inlineStr">
        <is>
          <t>KRW 환산, 만원</t>
        </is>
      </c>
      <c r="F161" t="inlineStr">
        <is>
          <t>가상생성</t>
        </is>
      </c>
    </row>
    <row r="162" ht="21" customHeight="1" s="26">
      <c r="A162" t="inlineStr">
        <is>
          <t>EXA-0041</t>
        </is>
      </c>
      <c r="B162" t="n">
        <v>2023</v>
      </c>
      <c r="C162" s="31" t="n">
        <v>192596</v>
      </c>
      <c r="D162" t="inlineStr">
        <is>
          <t>연간 확정(가상)</t>
        </is>
      </c>
      <c r="E162" t="inlineStr">
        <is>
          <t>KRW 환산, 만원</t>
        </is>
      </c>
      <c r="F162" t="inlineStr">
        <is>
          <t>가상생성</t>
        </is>
      </c>
    </row>
    <row r="163" ht="21" customHeight="1" s="26">
      <c r="A163" t="inlineStr">
        <is>
          <t>EXA-0041</t>
        </is>
      </c>
      <c r="B163" t="n">
        <v>2024</v>
      </c>
      <c r="C163" s="31" t="n">
        <v>157175</v>
      </c>
      <c r="D163" t="inlineStr">
        <is>
          <t>연간 확정(가상)</t>
        </is>
      </c>
      <c r="E163" t="inlineStr">
        <is>
          <t>KRW 환산, 만원</t>
        </is>
      </c>
      <c r="F163" t="inlineStr">
        <is>
          <t>가상생성</t>
        </is>
      </c>
    </row>
    <row r="164" ht="21" customHeight="1" s="26">
      <c r="A164" t="inlineStr">
        <is>
          <t>EXA-0041</t>
        </is>
      </c>
      <c r="B164" t="n">
        <v>2025</v>
      </c>
      <c r="C164" s="31" t="n">
        <v>159145</v>
      </c>
      <c r="D164" t="inlineStr">
        <is>
          <t>연간 확정(가상)</t>
        </is>
      </c>
      <c r="E164" t="inlineStr">
        <is>
          <t>KRW 환산, 만원</t>
        </is>
      </c>
      <c r="F164" t="inlineStr">
        <is>
          <t>가상생성</t>
        </is>
      </c>
    </row>
    <row r="165" ht="21" customHeight="1" s="26">
      <c r="A165" t="inlineStr">
        <is>
          <t>EXA-0041</t>
        </is>
      </c>
      <c r="B165" t="n">
        <v>2026</v>
      </c>
      <c r="C165" s="31" t="n">
        <v>108796</v>
      </c>
      <c r="D165" t="inlineStr">
        <is>
          <t>1~3분기 누계</t>
        </is>
      </c>
      <c r="E165" t="inlineStr">
        <is>
          <t>KRW 환산, 만원</t>
        </is>
      </c>
      <c r="F165" t="inlineStr">
        <is>
          <t>가상생성</t>
        </is>
      </c>
    </row>
    <row r="166" ht="21" customHeight="1" s="26">
      <c r="A166" t="inlineStr">
        <is>
          <t>EXA-0042</t>
        </is>
      </c>
      <c r="B166" t="n">
        <v>2023</v>
      </c>
      <c r="C166" s="31" t="n">
        <v>140359</v>
      </c>
      <c r="D166" t="inlineStr">
        <is>
          <t>연간 확정(가상)</t>
        </is>
      </c>
      <c r="E166" t="inlineStr">
        <is>
          <t>KRW 환산, 만원</t>
        </is>
      </c>
      <c r="F166" t="inlineStr">
        <is>
          <t>가상생성</t>
        </is>
      </c>
    </row>
    <row r="167" ht="21" customHeight="1" s="26">
      <c r="A167" t="inlineStr">
        <is>
          <t>EXA-0042</t>
        </is>
      </c>
      <c r="B167" t="n">
        <v>2024</v>
      </c>
      <c r="C167" s="31" t="n">
        <v>168201</v>
      </c>
      <c r="D167" t="inlineStr">
        <is>
          <t>연간 확정(가상)</t>
        </is>
      </c>
      <c r="E167" t="inlineStr">
        <is>
          <t>KRW 환산, 만원</t>
        </is>
      </c>
      <c r="F167" t="inlineStr">
        <is>
          <t>가상생성</t>
        </is>
      </c>
    </row>
    <row r="168" ht="21" customHeight="1" s="26">
      <c r="A168" t="inlineStr">
        <is>
          <t>EXA-0042</t>
        </is>
      </c>
      <c r="B168" t="n">
        <v>2025</v>
      </c>
      <c r="C168" s="31" t="n">
        <v>98932</v>
      </c>
      <c r="D168" t="inlineStr">
        <is>
          <t>연간 확정(가상)</t>
        </is>
      </c>
      <c r="E168" t="inlineStr">
        <is>
          <t>KRW 환산, 만원</t>
        </is>
      </c>
      <c r="F168" t="inlineStr">
        <is>
          <t>가상생성</t>
        </is>
      </c>
    </row>
    <row r="169" ht="21" customHeight="1" s="26">
      <c r="A169" t="inlineStr">
        <is>
          <t>EXA-0042</t>
        </is>
      </c>
      <c r="B169" t="n">
        <v>2026</v>
      </c>
      <c r="C169" s="31" t="n">
        <v>58400</v>
      </c>
      <c r="D169" t="inlineStr">
        <is>
          <t>1~3분기 누계</t>
        </is>
      </c>
      <c r="E169" t="inlineStr">
        <is>
          <t>KRW 환산, 만원</t>
        </is>
      </c>
      <c r="F169" t="inlineStr">
        <is>
          <t>가상생성</t>
        </is>
      </c>
    </row>
    <row r="170" ht="21" customHeight="1" s="26">
      <c r="A170" t="inlineStr">
        <is>
          <t>EXA-0043</t>
        </is>
      </c>
      <c r="B170" t="n">
        <v>2023</v>
      </c>
      <c r="C170" s="31" t="n">
        <v>72653</v>
      </c>
      <c r="D170" t="inlineStr">
        <is>
          <t>연간 확정(가상)</t>
        </is>
      </c>
      <c r="E170" t="inlineStr">
        <is>
          <t>KRW 환산, 만원</t>
        </is>
      </c>
      <c r="F170" t="inlineStr">
        <is>
          <t>가상생성</t>
        </is>
      </c>
    </row>
    <row r="171" ht="21" customHeight="1" s="26">
      <c r="A171" t="inlineStr">
        <is>
          <t>EXA-0043</t>
        </is>
      </c>
      <c r="B171" t="n">
        <v>2024</v>
      </c>
      <c r="C171" s="31" t="n">
        <v>70010</v>
      </c>
      <c r="D171" t="inlineStr">
        <is>
          <t>연간 확정(가상)</t>
        </is>
      </c>
      <c r="E171" t="inlineStr">
        <is>
          <t>KRW 환산, 만원</t>
        </is>
      </c>
      <c r="F171" t="inlineStr">
        <is>
          <t>가상생성</t>
        </is>
      </c>
    </row>
    <row r="172" ht="21" customHeight="1" s="26">
      <c r="A172" t="inlineStr">
        <is>
          <t>EXA-0043</t>
        </is>
      </c>
      <c r="B172" t="n">
        <v>2025</v>
      </c>
      <c r="C172" s="31" t="n">
        <v>83065</v>
      </c>
      <c r="D172" t="inlineStr">
        <is>
          <t>연간 확정(가상)</t>
        </is>
      </c>
      <c r="E172" t="inlineStr">
        <is>
          <t>KRW 환산, 만원</t>
        </is>
      </c>
      <c r="F172" t="inlineStr">
        <is>
          <t>가상생성</t>
        </is>
      </c>
    </row>
    <row r="173" ht="21" customHeight="1" s="26">
      <c r="A173" t="inlineStr">
        <is>
          <t>EXA-0043</t>
        </is>
      </c>
      <c r="B173" t="n">
        <v>2026</v>
      </c>
      <c r="C173" s="31" t="n">
        <v>50275</v>
      </c>
      <c r="D173" t="inlineStr">
        <is>
          <t>1~3분기 누계</t>
        </is>
      </c>
      <c r="E173" t="inlineStr">
        <is>
          <t>KRW 환산, 만원</t>
        </is>
      </c>
      <c r="F173" t="inlineStr">
        <is>
          <t>가상생성</t>
        </is>
      </c>
    </row>
    <row r="174" ht="21" customHeight="1" s="26">
      <c r="A174" t="inlineStr">
        <is>
          <t>EXA-0044</t>
        </is>
      </c>
      <c r="B174" t="n">
        <v>2023</v>
      </c>
      <c r="C174" s="31" t="n">
        <v>301089</v>
      </c>
      <c r="D174" t="inlineStr">
        <is>
          <t>연간 확정(가상)</t>
        </is>
      </c>
      <c r="E174" t="inlineStr">
        <is>
          <t>KRW 환산, 만원</t>
        </is>
      </c>
      <c r="F174" t="inlineStr">
        <is>
          <t>가상생성</t>
        </is>
      </c>
    </row>
    <row r="175" ht="21" customHeight="1" s="26">
      <c r="A175" t="inlineStr">
        <is>
          <t>EXA-0044</t>
        </is>
      </c>
      <c r="B175" t="n">
        <v>2024</v>
      </c>
      <c r="C175" s="31" t="n">
        <v>355759</v>
      </c>
      <c r="D175" t="inlineStr">
        <is>
          <t>연간 확정(가상)</t>
        </is>
      </c>
      <c r="E175" t="inlineStr">
        <is>
          <t>KRW 환산, 만원</t>
        </is>
      </c>
      <c r="F175" t="inlineStr">
        <is>
          <t>가상생성</t>
        </is>
      </c>
    </row>
    <row r="176" ht="21" customHeight="1" s="26">
      <c r="A176" t="inlineStr">
        <is>
          <t>EXA-0044</t>
        </is>
      </c>
      <c r="B176" t="n">
        <v>2025</v>
      </c>
      <c r="C176" s="31" t="n">
        <v>459170</v>
      </c>
      <c r="D176" t="inlineStr">
        <is>
          <t>연간 확정(가상)</t>
        </is>
      </c>
      <c r="E176" t="inlineStr">
        <is>
          <t>KRW 환산, 만원</t>
        </is>
      </c>
      <c r="F176" t="inlineStr">
        <is>
          <t>가상생성</t>
        </is>
      </c>
    </row>
    <row r="177" ht="21" customHeight="1" s="26">
      <c r="A177" t="inlineStr">
        <is>
          <t>EXA-0044</t>
        </is>
      </c>
      <c r="B177" t="n">
        <v>2026</v>
      </c>
      <c r="C177" s="31" t="n">
        <v>243979</v>
      </c>
      <c r="D177" t="inlineStr">
        <is>
          <t>1~3분기 누계</t>
        </is>
      </c>
      <c r="E177" t="inlineStr">
        <is>
          <t>KRW 환산, 만원</t>
        </is>
      </c>
      <c r="F177" t="inlineStr">
        <is>
          <t>가상생성</t>
        </is>
      </c>
    </row>
    <row r="178" ht="21" customHeight="1" s="26">
      <c r="A178" t="inlineStr">
        <is>
          <t>EXA-0045</t>
        </is>
      </c>
      <c r="B178" t="n">
        <v>2023</v>
      </c>
      <c r="C178" s="31" t="n">
        <v>69581</v>
      </c>
      <c r="D178" t="inlineStr">
        <is>
          <t>연간 확정(가상)</t>
        </is>
      </c>
      <c r="E178" t="inlineStr">
        <is>
          <t>KRW 환산, 만원</t>
        </is>
      </c>
      <c r="F178" t="inlineStr">
        <is>
          <t>가상생성</t>
        </is>
      </c>
    </row>
    <row r="179" ht="21" customHeight="1" s="26">
      <c r="A179" t="inlineStr">
        <is>
          <t>EXA-0045</t>
        </is>
      </c>
      <c r="B179" t="n">
        <v>2024</v>
      </c>
      <c r="C179" s="31" t="n">
        <v>92974</v>
      </c>
      <c r="D179" t="inlineStr">
        <is>
          <t>연간 확정(가상)</t>
        </is>
      </c>
      <c r="E179" t="inlineStr">
        <is>
          <t>KRW 환산, 만원</t>
        </is>
      </c>
      <c r="F179" t="inlineStr">
        <is>
          <t>가상생성</t>
        </is>
      </c>
    </row>
    <row r="180" ht="21" customHeight="1" s="26">
      <c r="A180" t="inlineStr">
        <is>
          <t>EXA-0045</t>
        </is>
      </c>
      <c r="B180" t="n">
        <v>2025</v>
      </c>
      <c r="C180" s="31" t="n">
        <v>90159</v>
      </c>
      <c r="D180" t="inlineStr">
        <is>
          <t>연간 확정(가상)</t>
        </is>
      </c>
      <c r="E180" t="inlineStr">
        <is>
          <t>KRW 환산, 만원</t>
        </is>
      </c>
      <c r="F180" t="inlineStr">
        <is>
          <t>가상생성</t>
        </is>
      </c>
    </row>
    <row r="181" ht="21" customHeight="1" s="26">
      <c r="A181" t="inlineStr">
        <is>
          <t>EXA-0045</t>
        </is>
      </c>
      <c r="B181" t="n">
        <v>2026</v>
      </c>
      <c r="C181" s="31" t="n">
        <v>44496</v>
      </c>
      <c r="D181" t="inlineStr">
        <is>
          <t>1~3분기 누계</t>
        </is>
      </c>
      <c r="E181" t="inlineStr">
        <is>
          <t>KRW 환산, 만원</t>
        </is>
      </c>
      <c r="F181" t="inlineStr">
        <is>
          <t>가상생성</t>
        </is>
      </c>
    </row>
    <row r="182" ht="21" customHeight="1" s="26">
      <c r="A182" t="inlineStr">
        <is>
          <t>EXA-0046</t>
        </is>
      </c>
      <c r="B182" t="n">
        <v>2023</v>
      </c>
      <c r="C182" s="31" t="n">
        <v>169262</v>
      </c>
      <c r="D182" t="inlineStr">
        <is>
          <t>연간 확정(가상)</t>
        </is>
      </c>
      <c r="E182" t="inlineStr">
        <is>
          <t>KRW 환산, 만원</t>
        </is>
      </c>
      <c r="F182" t="inlineStr">
        <is>
          <t>가상생성</t>
        </is>
      </c>
    </row>
    <row r="183" ht="21" customHeight="1" s="26">
      <c r="A183" t="inlineStr">
        <is>
          <t>EXA-0046</t>
        </is>
      </c>
      <c r="B183" t="n">
        <v>2024</v>
      </c>
      <c r="C183" s="31" t="n">
        <v>194276</v>
      </c>
      <c r="D183" t="inlineStr">
        <is>
          <t>연간 확정(가상)</t>
        </is>
      </c>
      <c r="E183" t="inlineStr">
        <is>
          <t>KRW 환산, 만원</t>
        </is>
      </c>
      <c r="F183" t="inlineStr">
        <is>
          <t>가상생성</t>
        </is>
      </c>
    </row>
    <row r="184" ht="21" customHeight="1" s="26">
      <c r="A184" t="inlineStr">
        <is>
          <t>EXA-0046</t>
        </is>
      </c>
      <c r="B184" t="n">
        <v>2025</v>
      </c>
      <c r="C184" s="31" t="n">
        <v>300915</v>
      </c>
      <c r="D184" t="inlineStr">
        <is>
          <t>연간 확정(가상)</t>
        </is>
      </c>
      <c r="E184" t="inlineStr">
        <is>
          <t>KRW 환산, 만원</t>
        </is>
      </c>
      <c r="F184" t="inlineStr">
        <is>
          <t>가상생성</t>
        </is>
      </c>
    </row>
    <row r="185" ht="21" customHeight="1" s="26">
      <c r="A185" t="inlineStr">
        <is>
          <t>EXA-0046</t>
        </is>
      </c>
      <c r="B185" t="n">
        <v>2026</v>
      </c>
      <c r="C185" s="31" t="n">
        <v>221130</v>
      </c>
      <c r="D185" t="inlineStr">
        <is>
          <t>1~3분기 누계</t>
        </is>
      </c>
      <c r="E185" t="inlineStr">
        <is>
          <t>KRW 환산, 만원</t>
        </is>
      </c>
      <c r="F185" t="inlineStr">
        <is>
          <t>가상생성</t>
        </is>
      </c>
    </row>
    <row r="186" ht="21" customHeight="1" s="26">
      <c r="A186" t="inlineStr">
        <is>
          <t>EXA-0047</t>
        </is>
      </c>
      <c r="B186" t="n">
        <v>2023</v>
      </c>
      <c r="C186" s="31" t="n">
        <v>148857</v>
      </c>
      <c r="D186" t="inlineStr">
        <is>
          <t>연간 확정(가상)</t>
        </is>
      </c>
      <c r="E186" t="inlineStr">
        <is>
          <t>KRW 환산, 만원</t>
        </is>
      </c>
      <c r="F186" t="inlineStr">
        <is>
          <t>가상생성</t>
        </is>
      </c>
    </row>
    <row r="187" ht="21" customHeight="1" s="26">
      <c r="A187" t="inlineStr">
        <is>
          <t>EXA-0047</t>
        </is>
      </c>
      <c r="B187" t="n">
        <v>2024</v>
      </c>
      <c r="C187" s="31" t="n">
        <v>111182</v>
      </c>
      <c r="D187" t="inlineStr">
        <is>
          <t>연간 확정(가상)</t>
        </is>
      </c>
      <c r="E187" t="inlineStr">
        <is>
          <t>KRW 환산, 만원</t>
        </is>
      </c>
      <c r="F187" t="inlineStr">
        <is>
          <t>가상생성</t>
        </is>
      </c>
    </row>
    <row r="188" ht="21" customHeight="1" s="26">
      <c r="A188" t="inlineStr">
        <is>
          <t>EXA-0047</t>
        </is>
      </c>
      <c r="B188" t="n">
        <v>2025</v>
      </c>
      <c r="C188" s="31" t="n">
        <v>64540</v>
      </c>
      <c r="D188" t="inlineStr">
        <is>
          <t>연간 확정(가상)</t>
        </is>
      </c>
      <c r="E188" t="inlineStr">
        <is>
          <t>KRW 환산, 만원</t>
        </is>
      </c>
      <c r="F188" t="inlineStr">
        <is>
          <t>가상생성</t>
        </is>
      </c>
    </row>
    <row r="189" ht="21" customHeight="1" s="26">
      <c r="A189" t="inlineStr">
        <is>
          <t>EXA-0047</t>
        </is>
      </c>
      <c r="B189" t="n">
        <v>2026</v>
      </c>
      <c r="C189" s="31" t="n">
        <v>28677</v>
      </c>
      <c r="D189" t="inlineStr">
        <is>
          <t>1~3분기 누계</t>
        </is>
      </c>
      <c r="E189" t="inlineStr">
        <is>
          <t>KRW 환산, 만원</t>
        </is>
      </c>
      <c r="F189" t="inlineStr">
        <is>
          <t>가상생성</t>
        </is>
      </c>
    </row>
    <row r="190" ht="21" customHeight="1" s="26">
      <c r="A190" t="inlineStr">
        <is>
          <t>EXA-0048</t>
        </is>
      </c>
      <c r="B190" t="n">
        <v>2023</v>
      </c>
      <c r="C190" s="31" t="n">
        <v>233325</v>
      </c>
      <c r="D190" t="inlineStr">
        <is>
          <t>연간 확정(가상)</t>
        </is>
      </c>
      <c r="E190" t="inlineStr">
        <is>
          <t>KRW 환산, 만원</t>
        </is>
      </c>
      <c r="F190" t="inlineStr">
        <is>
          <t>가상생성</t>
        </is>
      </c>
    </row>
    <row r="191" ht="21" customHeight="1" s="26">
      <c r="A191" t="inlineStr">
        <is>
          <t>EXA-0048</t>
        </is>
      </c>
      <c r="B191" t="n">
        <v>2024</v>
      </c>
      <c r="C191" s="31" t="n">
        <v>179405</v>
      </c>
      <c r="D191" t="inlineStr">
        <is>
          <t>연간 확정(가상)</t>
        </is>
      </c>
      <c r="E191" t="inlineStr">
        <is>
          <t>KRW 환산, 만원</t>
        </is>
      </c>
      <c r="F191" t="inlineStr">
        <is>
          <t>가상생성</t>
        </is>
      </c>
    </row>
    <row r="192" ht="21" customHeight="1" s="26">
      <c r="A192" t="inlineStr">
        <is>
          <t>EXA-0048</t>
        </is>
      </c>
      <c r="B192" t="n">
        <v>2025</v>
      </c>
      <c r="C192" s="31" t="n">
        <v>215189</v>
      </c>
      <c r="D192" t="inlineStr">
        <is>
          <t>연간 확정(가상)</t>
        </is>
      </c>
      <c r="E192" t="inlineStr">
        <is>
          <t>KRW 환산, 만원</t>
        </is>
      </c>
      <c r="F192" t="inlineStr">
        <is>
          <t>가상생성</t>
        </is>
      </c>
    </row>
    <row r="193" ht="21" customHeight="1" s="26">
      <c r="A193" t="inlineStr">
        <is>
          <t>EXA-0048</t>
        </is>
      </c>
      <c r="B193" t="n">
        <v>2026</v>
      </c>
      <c r="C193" s="31" t="n">
        <v>125610</v>
      </c>
      <c r="D193" t="inlineStr">
        <is>
          <t>1~3분기 누계</t>
        </is>
      </c>
      <c r="E193" t="inlineStr">
        <is>
          <t>KRW 환산, 만원</t>
        </is>
      </c>
      <c r="F193" t="inlineStr">
        <is>
          <t>가상생성</t>
        </is>
      </c>
    </row>
    <row r="194" ht="21" customHeight="1" s="26">
      <c r="A194" t="inlineStr">
        <is>
          <t>EXA-0049</t>
        </is>
      </c>
      <c r="B194" t="n">
        <v>2023</v>
      </c>
      <c r="C194" s="31" t="n">
        <v>206576</v>
      </c>
      <c r="D194" t="inlineStr">
        <is>
          <t>연간 확정(가상)</t>
        </is>
      </c>
      <c r="E194" t="inlineStr">
        <is>
          <t>KRW 환산, 만원</t>
        </is>
      </c>
      <c r="F194" t="inlineStr">
        <is>
          <t>가상생성</t>
        </is>
      </c>
    </row>
    <row r="195" ht="21" customHeight="1" s="26">
      <c r="A195" t="inlineStr">
        <is>
          <t>EXA-0049</t>
        </is>
      </c>
      <c r="B195" t="n">
        <v>2024</v>
      </c>
      <c r="C195" s="31" t="n">
        <v>184518</v>
      </c>
      <c r="D195" t="inlineStr">
        <is>
          <t>연간 확정(가상)</t>
        </is>
      </c>
      <c r="E195" t="inlineStr">
        <is>
          <t>KRW 환산, 만원</t>
        </is>
      </c>
      <c r="F195" t="inlineStr">
        <is>
          <t>가상생성</t>
        </is>
      </c>
    </row>
    <row r="196" ht="21" customHeight="1" s="26">
      <c r="A196" t="inlineStr">
        <is>
          <t>EXA-0049</t>
        </is>
      </c>
      <c r="B196" t="n">
        <v>2025</v>
      </c>
      <c r="C196" s="31" t="n">
        <v>122977</v>
      </c>
      <c r="D196" t="inlineStr">
        <is>
          <t>연간 확정(가상)</t>
        </is>
      </c>
      <c r="E196" t="inlineStr">
        <is>
          <t>KRW 환산, 만원</t>
        </is>
      </c>
      <c r="F196" t="inlineStr">
        <is>
          <t>가상생성</t>
        </is>
      </c>
    </row>
    <row r="197" ht="21" customHeight="1" s="26">
      <c r="A197" t="inlineStr">
        <is>
          <t>EXA-0049</t>
        </is>
      </c>
      <c r="B197" t="n">
        <v>2026</v>
      </c>
      <c r="C197" s="31" t="n">
        <v>47399</v>
      </c>
      <c r="D197" t="inlineStr">
        <is>
          <t>1~3분기 누계</t>
        </is>
      </c>
      <c r="E197" t="inlineStr">
        <is>
          <t>KRW 환산, 만원</t>
        </is>
      </c>
      <c r="F197" t="inlineStr">
        <is>
          <t>가상생성</t>
        </is>
      </c>
    </row>
    <row r="198" ht="21" customHeight="1" s="26">
      <c r="A198" t="inlineStr">
        <is>
          <t>EXA-0050</t>
        </is>
      </c>
      <c r="B198" t="n">
        <v>2023</v>
      </c>
      <c r="C198" s="31" t="n">
        <v>242740</v>
      </c>
      <c r="D198" t="inlineStr">
        <is>
          <t>연간 확정(가상)</t>
        </is>
      </c>
      <c r="E198" t="inlineStr">
        <is>
          <t>KRW 환산, 만원</t>
        </is>
      </c>
      <c r="F198" t="inlineStr">
        <is>
          <t>가상생성</t>
        </is>
      </c>
    </row>
    <row r="199" ht="21" customHeight="1" s="26">
      <c r="A199" t="inlineStr">
        <is>
          <t>EXA-0050</t>
        </is>
      </c>
      <c r="B199" t="n">
        <v>2024</v>
      </c>
      <c r="C199" s="31" t="n">
        <v>330362</v>
      </c>
      <c r="D199" t="inlineStr">
        <is>
          <t>연간 확정(가상)</t>
        </is>
      </c>
      <c r="E199" t="inlineStr">
        <is>
          <t>KRW 환산, 만원</t>
        </is>
      </c>
      <c r="F199" t="inlineStr">
        <is>
          <t>가상생성</t>
        </is>
      </c>
    </row>
    <row r="200" ht="21" customHeight="1" s="26">
      <c r="A200" t="inlineStr">
        <is>
          <t>EXA-0050</t>
        </is>
      </c>
      <c r="B200" t="n">
        <v>2025</v>
      </c>
      <c r="C200" s="31" t="n">
        <v>430146</v>
      </c>
      <c r="D200" t="inlineStr">
        <is>
          <t>연간 확정(가상)</t>
        </is>
      </c>
      <c r="E200" t="inlineStr">
        <is>
          <t>KRW 환산, 만원</t>
        </is>
      </c>
      <c r="F200" t="inlineStr">
        <is>
          <t>가상생성</t>
        </is>
      </c>
    </row>
    <row r="201" ht="21" customHeight="1" s="26">
      <c r="A201" t="inlineStr">
        <is>
          <t>EXA-0050</t>
        </is>
      </c>
      <c r="B201" t="n">
        <v>2026</v>
      </c>
      <c r="C201" s="31" t="n">
        <v>369114</v>
      </c>
      <c r="D201" t="inlineStr">
        <is>
          <t>1~3분기 누계</t>
        </is>
      </c>
      <c r="E201" t="inlineStr">
        <is>
          <t>KRW 환산, 만원</t>
        </is>
      </c>
      <c r="F201" t="inlineStr">
        <is>
          <t>가상생성</t>
        </is>
      </c>
    </row>
    <row r="202" ht="21" customHeight="1" s="26">
      <c r="A202" t="inlineStr">
        <is>
          <t>EXA-0051</t>
        </is>
      </c>
      <c r="B202" t="n">
        <v>2023</v>
      </c>
      <c r="C202" s="31" t="n">
        <v>34532</v>
      </c>
      <c r="D202" t="inlineStr">
        <is>
          <t>연간 확정(가상)</t>
        </is>
      </c>
      <c r="E202" t="inlineStr">
        <is>
          <t>KRW 환산, 만원</t>
        </is>
      </c>
      <c r="F202" t="inlineStr">
        <is>
          <t>가상생성</t>
        </is>
      </c>
    </row>
    <row r="203" ht="21" customHeight="1" s="26">
      <c r="A203" t="inlineStr">
        <is>
          <t>EXA-0051</t>
        </is>
      </c>
      <c r="B203" t="n">
        <v>2024</v>
      </c>
      <c r="C203" s="31" t="n">
        <v>46258</v>
      </c>
      <c r="D203" t="inlineStr">
        <is>
          <t>연간 확정(가상)</t>
        </is>
      </c>
      <c r="E203" t="inlineStr">
        <is>
          <t>KRW 환산, 만원</t>
        </is>
      </c>
      <c r="F203" t="inlineStr">
        <is>
          <t>가상생성</t>
        </is>
      </c>
    </row>
    <row r="204" ht="21" customHeight="1" s="26">
      <c r="A204" t="inlineStr">
        <is>
          <t>EXA-0051</t>
        </is>
      </c>
      <c r="B204" t="n">
        <v>2025</v>
      </c>
      <c r="C204" s="31" t="n">
        <v>55495</v>
      </c>
      <c r="D204" t="inlineStr">
        <is>
          <t>연간 확정(가상)</t>
        </is>
      </c>
      <c r="E204" t="inlineStr">
        <is>
          <t>KRW 환산, 만원</t>
        </is>
      </c>
      <c r="F204" t="inlineStr">
        <is>
          <t>가상생성</t>
        </is>
      </c>
    </row>
    <row r="205" ht="21" customHeight="1" s="26">
      <c r="A205" t="inlineStr">
        <is>
          <t>EXA-0051</t>
        </is>
      </c>
      <c r="B205" t="n">
        <v>2026</v>
      </c>
      <c r="C205" s="31" t="n">
        <v>43649</v>
      </c>
      <c r="D205" t="inlineStr">
        <is>
          <t>1~3분기 누계</t>
        </is>
      </c>
      <c r="E205" t="inlineStr">
        <is>
          <t>KRW 환산, 만원</t>
        </is>
      </c>
      <c r="F205" t="inlineStr">
        <is>
          <t>가상생성</t>
        </is>
      </c>
    </row>
    <row r="206" ht="21" customHeight="1" s="26">
      <c r="A206" t="inlineStr">
        <is>
          <t>EXA-0052</t>
        </is>
      </c>
      <c r="B206" t="n">
        <v>2023</v>
      </c>
      <c r="C206" s="31" t="n">
        <v>278080</v>
      </c>
      <c r="D206" t="inlineStr">
        <is>
          <t>연간 확정(가상)</t>
        </is>
      </c>
      <c r="E206" t="inlineStr">
        <is>
          <t>KRW 환산, 만원</t>
        </is>
      </c>
      <c r="F206" t="inlineStr">
        <is>
          <t>가상생성</t>
        </is>
      </c>
    </row>
    <row r="207" ht="21" customHeight="1" s="26">
      <c r="A207" t="inlineStr">
        <is>
          <t>EXA-0052</t>
        </is>
      </c>
      <c r="B207" t="n">
        <v>2024</v>
      </c>
      <c r="C207" s="31" t="n">
        <v>330764</v>
      </c>
      <c r="D207" t="inlineStr">
        <is>
          <t>연간 확정(가상)</t>
        </is>
      </c>
      <c r="E207" t="inlineStr">
        <is>
          <t>KRW 환산, 만원</t>
        </is>
      </c>
      <c r="F207" t="inlineStr">
        <is>
          <t>가상생성</t>
        </is>
      </c>
    </row>
    <row r="208" ht="21" customHeight="1" s="26">
      <c r="A208" t="inlineStr">
        <is>
          <t>EXA-0052</t>
        </is>
      </c>
      <c r="B208" t="n">
        <v>2025</v>
      </c>
      <c r="C208" s="31" t="n">
        <v>490330</v>
      </c>
      <c r="D208" t="inlineStr">
        <is>
          <t>연간 확정(가상)</t>
        </is>
      </c>
      <c r="E208" t="inlineStr">
        <is>
          <t>KRW 환산, 만원</t>
        </is>
      </c>
      <c r="F208" t="inlineStr">
        <is>
          <t>가상생성</t>
        </is>
      </c>
    </row>
    <row r="209" ht="21" customHeight="1" s="26">
      <c r="A209" t="inlineStr">
        <is>
          <t>EXA-0052</t>
        </is>
      </c>
      <c r="B209" t="n">
        <v>2026</v>
      </c>
      <c r="C209" s="31" t="n">
        <v>204812</v>
      </c>
      <c r="D209" t="inlineStr">
        <is>
          <t>1~3분기 누계</t>
        </is>
      </c>
      <c r="E209" t="inlineStr">
        <is>
          <t>KRW 환산, 만원</t>
        </is>
      </c>
      <c r="F209" t="inlineStr">
        <is>
          <t>가상생성</t>
        </is>
      </c>
    </row>
    <row r="210" ht="21" customHeight="1" s="26">
      <c r="A210" t="inlineStr">
        <is>
          <t>EXA-0053</t>
        </is>
      </c>
      <c r="B210" t="n">
        <v>2023</v>
      </c>
      <c r="C210" s="31" t="n">
        <v>73493</v>
      </c>
      <c r="D210" t="inlineStr">
        <is>
          <t>연간 확정(가상)</t>
        </is>
      </c>
      <c r="E210" t="inlineStr">
        <is>
          <t>KRW 환산, 만원</t>
        </is>
      </c>
      <c r="F210" t="inlineStr">
        <is>
          <t>가상생성</t>
        </is>
      </c>
    </row>
    <row r="211" ht="21" customHeight="1" s="26">
      <c r="A211" t="inlineStr">
        <is>
          <t>EXA-0053</t>
        </is>
      </c>
      <c r="B211" t="n">
        <v>2024</v>
      </c>
      <c r="C211" s="31" t="n">
        <v>68385</v>
      </c>
      <c r="D211" t="inlineStr">
        <is>
          <t>연간 확정(가상)</t>
        </is>
      </c>
      <c r="E211" t="inlineStr">
        <is>
          <t>KRW 환산, 만원</t>
        </is>
      </c>
      <c r="F211" t="inlineStr">
        <is>
          <t>가상생성</t>
        </is>
      </c>
    </row>
    <row r="212" ht="21" customHeight="1" s="26">
      <c r="A212" t="inlineStr">
        <is>
          <t>EXA-0053</t>
        </is>
      </c>
      <c r="B212" t="n">
        <v>2025</v>
      </c>
      <c r="C212" s="31" t="n">
        <v>88343</v>
      </c>
      <c r="D212" t="inlineStr">
        <is>
          <t>연간 확정(가상)</t>
        </is>
      </c>
      <c r="E212" t="inlineStr">
        <is>
          <t>KRW 환산, 만원</t>
        </is>
      </c>
      <c r="F212" t="inlineStr">
        <is>
          <t>가상생성</t>
        </is>
      </c>
    </row>
    <row r="213" ht="21" customHeight="1" s="26">
      <c r="A213" t="inlineStr">
        <is>
          <t>EXA-0053</t>
        </is>
      </c>
      <c r="B213" t="n">
        <v>2026</v>
      </c>
      <c r="C213" s="31" t="n">
        <v>66857</v>
      </c>
      <c r="D213" t="inlineStr">
        <is>
          <t>1~3분기 누계</t>
        </is>
      </c>
      <c r="E213" t="inlineStr">
        <is>
          <t>KRW 환산, 만원</t>
        </is>
      </c>
      <c r="F213" t="inlineStr">
        <is>
          <t>가상생성</t>
        </is>
      </c>
    </row>
    <row r="214" ht="21" customHeight="1" s="26">
      <c r="A214" t="inlineStr">
        <is>
          <t>EXA-0054</t>
        </is>
      </c>
      <c r="B214" t="n">
        <v>2023</v>
      </c>
      <c r="C214" s="31" t="n">
        <v>288429</v>
      </c>
      <c r="D214" t="inlineStr">
        <is>
          <t>연간 확정(가상)</t>
        </is>
      </c>
      <c r="E214" t="inlineStr">
        <is>
          <t>KRW 환산, 만원</t>
        </is>
      </c>
      <c r="F214" t="inlineStr">
        <is>
          <t>가상생성</t>
        </is>
      </c>
    </row>
    <row r="215" ht="21" customHeight="1" s="26">
      <c r="A215" t="inlineStr">
        <is>
          <t>EXA-0054</t>
        </is>
      </c>
      <c r="B215" t="n">
        <v>2024</v>
      </c>
      <c r="C215" s="31" t="n">
        <v>239791</v>
      </c>
      <c r="D215" t="inlineStr">
        <is>
          <t>연간 확정(가상)</t>
        </is>
      </c>
      <c r="E215" t="inlineStr">
        <is>
          <t>KRW 환산, 만원</t>
        </is>
      </c>
      <c r="F215" t="inlineStr">
        <is>
          <t>가상생성</t>
        </is>
      </c>
    </row>
    <row r="216" ht="21" customHeight="1" s="26">
      <c r="A216" t="inlineStr">
        <is>
          <t>EXA-0054</t>
        </is>
      </c>
      <c r="B216" t="n">
        <v>2025</v>
      </c>
      <c r="C216" s="31" t="n">
        <v>248805</v>
      </c>
      <c r="D216" t="inlineStr">
        <is>
          <t>연간 확정(가상)</t>
        </is>
      </c>
      <c r="E216" t="inlineStr">
        <is>
          <t>KRW 환산, 만원</t>
        </is>
      </c>
      <c r="F216" t="inlineStr">
        <is>
          <t>가상생성</t>
        </is>
      </c>
    </row>
    <row r="217" ht="21" customHeight="1" s="26">
      <c r="A217" t="inlineStr">
        <is>
          <t>EXA-0054</t>
        </is>
      </c>
      <c r="B217" t="n">
        <v>2026</v>
      </c>
      <c r="C217" s="31" t="n">
        <v>204015</v>
      </c>
      <c r="D217" t="inlineStr">
        <is>
          <t>1~3분기 누계</t>
        </is>
      </c>
      <c r="E217" t="inlineStr">
        <is>
          <t>KRW 환산, 만원</t>
        </is>
      </c>
      <c r="F217" t="inlineStr">
        <is>
          <t>가상생성</t>
        </is>
      </c>
    </row>
    <row r="218" ht="21" customHeight="1" s="26">
      <c r="A218" t="inlineStr">
        <is>
          <t>EXA-0055</t>
        </is>
      </c>
      <c r="B218" t="n">
        <v>2023</v>
      </c>
      <c r="C218" s="31" t="n">
        <v>93934</v>
      </c>
      <c r="D218" t="inlineStr">
        <is>
          <t>연간 확정(가상)</t>
        </is>
      </c>
      <c r="E218" t="inlineStr">
        <is>
          <t>KRW 환산, 만원</t>
        </is>
      </c>
      <c r="F218" t="inlineStr">
        <is>
          <t>가상생성</t>
        </is>
      </c>
    </row>
    <row r="219" ht="21" customHeight="1" s="26">
      <c r="A219" t="inlineStr">
        <is>
          <t>EXA-0055</t>
        </is>
      </c>
      <c r="B219" t="n">
        <v>2024</v>
      </c>
      <c r="C219" s="31" t="n">
        <v>74287</v>
      </c>
      <c r="D219" t="inlineStr">
        <is>
          <t>연간 확정(가상)</t>
        </is>
      </c>
      <c r="E219" t="inlineStr">
        <is>
          <t>KRW 환산, 만원</t>
        </is>
      </c>
      <c r="F219" t="inlineStr">
        <is>
          <t>가상생성</t>
        </is>
      </c>
    </row>
    <row r="220" ht="21" customHeight="1" s="26">
      <c r="A220" t="inlineStr">
        <is>
          <t>EXA-0055</t>
        </is>
      </c>
      <c r="B220" t="n">
        <v>2025</v>
      </c>
      <c r="C220" s="31" t="n">
        <v>101644</v>
      </c>
      <c r="D220" t="inlineStr">
        <is>
          <t>연간 확정(가상)</t>
        </is>
      </c>
      <c r="E220" t="inlineStr">
        <is>
          <t>KRW 환산, 만원</t>
        </is>
      </c>
      <c r="F220" t="inlineStr">
        <is>
          <t>가상생성</t>
        </is>
      </c>
    </row>
    <row r="221" ht="21" customHeight="1" s="26">
      <c r="A221" t="inlineStr">
        <is>
          <t>EXA-0055</t>
        </is>
      </c>
      <c r="B221" t="n">
        <v>2026</v>
      </c>
      <c r="C221" s="31" t="n">
        <v>66176</v>
      </c>
      <c r="D221" t="inlineStr">
        <is>
          <t>1~3분기 누계</t>
        </is>
      </c>
      <c r="E221" t="inlineStr">
        <is>
          <t>KRW 환산, 만원</t>
        </is>
      </c>
      <c r="F221" t="inlineStr">
        <is>
          <t>가상생성</t>
        </is>
      </c>
    </row>
    <row r="222" ht="21" customHeight="1" s="26">
      <c r="A222" t="inlineStr">
        <is>
          <t>EXA-0056</t>
        </is>
      </c>
      <c r="B222" t="n">
        <v>2023</v>
      </c>
      <c r="C222" s="31" t="n">
        <v>125766</v>
      </c>
      <c r="D222" t="inlineStr">
        <is>
          <t>연간 확정(가상)</t>
        </is>
      </c>
      <c r="E222" t="inlineStr">
        <is>
          <t>KRW 환산, 만원</t>
        </is>
      </c>
      <c r="F222" t="inlineStr">
        <is>
          <t>가상생성</t>
        </is>
      </c>
    </row>
    <row r="223" ht="21" customHeight="1" s="26">
      <c r="A223" t="inlineStr">
        <is>
          <t>EXA-0056</t>
        </is>
      </c>
      <c r="B223" t="n">
        <v>2024</v>
      </c>
      <c r="C223" s="31" t="n">
        <v>135799</v>
      </c>
      <c r="D223" t="inlineStr">
        <is>
          <t>연간 확정(가상)</t>
        </is>
      </c>
      <c r="E223" t="inlineStr">
        <is>
          <t>KRW 환산, 만원</t>
        </is>
      </c>
      <c r="F223" t="inlineStr">
        <is>
          <t>가상생성</t>
        </is>
      </c>
    </row>
    <row r="224" ht="21" customHeight="1" s="26">
      <c r="A224" t="inlineStr">
        <is>
          <t>EXA-0056</t>
        </is>
      </c>
      <c r="B224" t="n">
        <v>2025</v>
      </c>
      <c r="C224" s="31" t="n">
        <v>83429</v>
      </c>
      <c r="D224" t="inlineStr">
        <is>
          <t>연간 확정(가상)</t>
        </is>
      </c>
      <c r="E224" t="inlineStr">
        <is>
          <t>KRW 환산, 만원</t>
        </is>
      </c>
      <c r="F224" t="inlineStr">
        <is>
          <t>가상생성</t>
        </is>
      </c>
    </row>
    <row r="225" ht="21" customHeight="1" s="26">
      <c r="A225" t="inlineStr">
        <is>
          <t>EXA-0056</t>
        </is>
      </c>
      <c r="B225" t="n">
        <v>2026</v>
      </c>
      <c r="C225" s="31" t="n">
        <v>28734</v>
      </c>
      <c r="D225" t="inlineStr">
        <is>
          <t>1~3분기 누계</t>
        </is>
      </c>
      <c r="E225" t="inlineStr">
        <is>
          <t>KRW 환산, 만원</t>
        </is>
      </c>
      <c r="F225" t="inlineStr">
        <is>
          <t>가상생성</t>
        </is>
      </c>
    </row>
    <row r="226" ht="21" customHeight="1" s="26">
      <c r="A226" t="inlineStr">
        <is>
          <t>EXA-0057</t>
        </is>
      </c>
      <c r="B226" t="n">
        <v>2023</v>
      </c>
      <c r="C226" s="31" t="n">
        <v>86310</v>
      </c>
      <c r="D226" t="inlineStr">
        <is>
          <t>연간 확정(가상)</t>
        </is>
      </c>
      <c r="E226" t="inlineStr">
        <is>
          <t>KRW 환산, 만원</t>
        </is>
      </c>
      <c r="F226" t="inlineStr">
        <is>
          <t>가상생성</t>
        </is>
      </c>
    </row>
    <row r="227" ht="21" customHeight="1" s="26">
      <c r="A227" t="inlineStr">
        <is>
          <t>EXA-0057</t>
        </is>
      </c>
      <c r="B227" t="n">
        <v>2024</v>
      </c>
      <c r="C227" s="31" t="n">
        <v>87121</v>
      </c>
      <c r="D227" t="inlineStr">
        <is>
          <t>연간 확정(가상)</t>
        </is>
      </c>
      <c r="E227" t="inlineStr">
        <is>
          <t>KRW 환산, 만원</t>
        </is>
      </c>
      <c r="F227" t="inlineStr">
        <is>
          <t>가상생성</t>
        </is>
      </c>
    </row>
    <row r="228" ht="21" customHeight="1" s="26">
      <c r="A228" t="inlineStr">
        <is>
          <t>EXA-0057</t>
        </is>
      </c>
      <c r="B228" t="n">
        <v>2025</v>
      </c>
      <c r="C228" s="31" t="n">
        <v>117718</v>
      </c>
      <c r="D228" t="inlineStr">
        <is>
          <t>연간 확정(가상)</t>
        </is>
      </c>
      <c r="E228" t="inlineStr">
        <is>
          <t>KRW 환산, 만원</t>
        </is>
      </c>
      <c r="F228" t="inlineStr">
        <is>
          <t>가상생성</t>
        </is>
      </c>
    </row>
    <row r="229" ht="21" customHeight="1" s="26">
      <c r="A229" t="inlineStr">
        <is>
          <t>EXA-0057</t>
        </is>
      </c>
      <c r="B229" t="n">
        <v>2026</v>
      </c>
      <c r="C229" s="31" t="n">
        <v>89719</v>
      </c>
      <c r="D229" t="inlineStr">
        <is>
          <t>1~3분기 누계</t>
        </is>
      </c>
      <c r="E229" t="inlineStr">
        <is>
          <t>KRW 환산, 만원</t>
        </is>
      </c>
      <c r="F229" t="inlineStr">
        <is>
          <t>가상생성</t>
        </is>
      </c>
    </row>
    <row r="230" ht="21" customHeight="1" s="26">
      <c r="A230" t="inlineStr">
        <is>
          <t>EXA-0058</t>
        </is>
      </c>
      <c r="B230" t="n">
        <v>2023</v>
      </c>
      <c r="C230" s="31" t="n">
        <v>72100</v>
      </c>
      <c r="D230" t="inlineStr">
        <is>
          <t>연간 확정(가상)</t>
        </is>
      </c>
      <c r="E230" t="inlineStr">
        <is>
          <t>KRW 환산, 만원</t>
        </is>
      </c>
      <c r="F230" t="inlineStr">
        <is>
          <t>가상생성</t>
        </is>
      </c>
    </row>
    <row r="231" ht="21" customHeight="1" s="26">
      <c r="A231" t="inlineStr">
        <is>
          <t>EXA-0058</t>
        </is>
      </c>
      <c r="B231" t="n">
        <v>2024</v>
      </c>
      <c r="C231" s="31" t="n">
        <v>99430</v>
      </c>
      <c r="D231" t="inlineStr">
        <is>
          <t>연간 확정(가상)</t>
        </is>
      </c>
      <c r="E231" t="inlineStr">
        <is>
          <t>KRW 환산, 만원</t>
        </is>
      </c>
      <c r="F231" t="inlineStr">
        <is>
          <t>가상생성</t>
        </is>
      </c>
    </row>
    <row r="232" ht="21" customHeight="1" s="26">
      <c r="A232" t="inlineStr">
        <is>
          <t>EXA-0058</t>
        </is>
      </c>
      <c r="B232" t="n">
        <v>2025</v>
      </c>
      <c r="C232" s="31" t="n">
        <v>117684</v>
      </c>
      <c r="D232" t="inlineStr">
        <is>
          <t>연간 확정(가상)</t>
        </is>
      </c>
      <c r="E232" t="inlineStr">
        <is>
          <t>KRW 환산, 만원</t>
        </is>
      </c>
      <c r="F232" t="inlineStr">
        <is>
          <t>가상생성</t>
        </is>
      </c>
    </row>
    <row r="233" ht="21" customHeight="1" s="26">
      <c r="A233" t="inlineStr">
        <is>
          <t>EXA-0058</t>
        </is>
      </c>
      <c r="B233" t="n">
        <v>2026</v>
      </c>
      <c r="C233" s="31" t="n">
        <v>59145</v>
      </c>
      <c r="D233" t="inlineStr">
        <is>
          <t>1~3분기 누계</t>
        </is>
      </c>
      <c r="E233" t="inlineStr">
        <is>
          <t>KRW 환산, 만원</t>
        </is>
      </c>
      <c r="F233" t="inlineStr">
        <is>
          <t>가상생성</t>
        </is>
      </c>
    </row>
    <row r="234" ht="21" customHeight="1" s="26">
      <c r="A234" t="inlineStr">
        <is>
          <t>EXA-0059</t>
        </is>
      </c>
      <c r="B234" t="n">
        <v>2023</v>
      </c>
      <c r="C234" s="31" t="n">
        <v>235528</v>
      </c>
      <c r="D234" t="inlineStr">
        <is>
          <t>연간 확정(가상)</t>
        </is>
      </c>
      <c r="E234" t="inlineStr">
        <is>
          <t>KRW 환산, 만원</t>
        </is>
      </c>
      <c r="F234" t="inlineStr">
        <is>
          <t>가상생성</t>
        </is>
      </c>
    </row>
    <row r="235" ht="21" customHeight="1" s="26">
      <c r="A235" t="inlineStr">
        <is>
          <t>EXA-0059</t>
        </is>
      </c>
      <c r="B235" t="n">
        <v>2024</v>
      </c>
      <c r="C235" s="31" t="n">
        <v>246779</v>
      </c>
      <c r="D235" t="inlineStr">
        <is>
          <t>연간 확정(가상)</t>
        </is>
      </c>
      <c r="E235" t="inlineStr">
        <is>
          <t>KRW 환산, 만원</t>
        </is>
      </c>
      <c r="F235" t="inlineStr">
        <is>
          <t>가상생성</t>
        </is>
      </c>
    </row>
    <row r="236" ht="21" customHeight="1" s="26">
      <c r="A236" t="inlineStr">
        <is>
          <t>EXA-0059</t>
        </is>
      </c>
      <c r="B236" t="n">
        <v>2025</v>
      </c>
      <c r="C236" s="31" t="n">
        <v>389481</v>
      </c>
      <c r="D236" t="inlineStr">
        <is>
          <t>연간 확정(가상)</t>
        </is>
      </c>
      <c r="E236" t="inlineStr">
        <is>
          <t>KRW 환산, 만원</t>
        </is>
      </c>
      <c r="F236" t="inlineStr">
        <is>
          <t>가상생성</t>
        </is>
      </c>
    </row>
    <row r="237" ht="21" customHeight="1" s="26">
      <c r="A237" t="inlineStr">
        <is>
          <t>EXA-0059</t>
        </is>
      </c>
      <c r="B237" t="n">
        <v>2026</v>
      </c>
      <c r="C237" s="31" t="n">
        <v>300993</v>
      </c>
      <c r="D237" t="inlineStr">
        <is>
          <t>1~3분기 누계</t>
        </is>
      </c>
      <c r="E237" t="inlineStr">
        <is>
          <t>KRW 환산, 만원</t>
        </is>
      </c>
      <c r="F237" t="inlineStr">
        <is>
          <t>가상생성</t>
        </is>
      </c>
    </row>
    <row r="238" ht="21" customHeight="1" s="26">
      <c r="A238" t="inlineStr">
        <is>
          <t>EXA-0060</t>
        </is>
      </c>
      <c r="B238" t="n">
        <v>2023</v>
      </c>
      <c r="C238" s="31" t="n">
        <v>19482</v>
      </c>
      <c r="D238" t="inlineStr">
        <is>
          <t>연간 확정(가상)</t>
        </is>
      </c>
      <c r="E238" t="inlineStr">
        <is>
          <t>KRW 환산, 만원</t>
        </is>
      </c>
      <c r="F238" t="inlineStr">
        <is>
          <t>가상생성</t>
        </is>
      </c>
    </row>
    <row r="239" ht="21" customHeight="1" s="26">
      <c r="A239" t="inlineStr">
        <is>
          <t>EXA-0060</t>
        </is>
      </c>
      <c r="B239" t="n">
        <v>2024</v>
      </c>
      <c r="C239" s="31" t="n">
        <v>15356</v>
      </c>
      <c r="D239" t="inlineStr">
        <is>
          <t>연간 확정(가상)</t>
        </is>
      </c>
      <c r="E239" t="inlineStr">
        <is>
          <t>KRW 환산, 만원</t>
        </is>
      </c>
      <c r="F239" t="inlineStr">
        <is>
          <t>가상생성</t>
        </is>
      </c>
    </row>
    <row r="240" ht="21" customHeight="1" s="26">
      <c r="A240" t="inlineStr">
        <is>
          <t>EXA-0060</t>
        </is>
      </c>
      <c r="B240" t="n">
        <v>2025</v>
      </c>
      <c r="C240" s="31" t="n">
        <v>15499</v>
      </c>
      <c r="D240" t="inlineStr">
        <is>
          <t>연간 확정(가상)</t>
        </is>
      </c>
      <c r="E240" t="inlineStr">
        <is>
          <t>KRW 환산, 만원</t>
        </is>
      </c>
      <c r="F240" t="inlineStr">
        <is>
          <t>가상생성</t>
        </is>
      </c>
    </row>
    <row r="241" ht="21" customHeight="1" s="26">
      <c r="A241" t="inlineStr">
        <is>
          <t>EXA-0060</t>
        </is>
      </c>
      <c r="B241" t="n">
        <v>2026</v>
      </c>
      <c r="C241" s="31" t="n">
        <v>12174</v>
      </c>
      <c r="D241" t="inlineStr">
        <is>
          <t>1~3분기 누계</t>
        </is>
      </c>
      <c r="E241" t="inlineStr">
        <is>
          <t>KRW 환산, 만원</t>
        </is>
      </c>
      <c r="F241" t="inlineStr">
        <is>
          <t>가상생성</t>
        </is>
      </c>
    </row>
    <row r="242" ht="21" customHeight="1" s="26">
      <c r="A242" t="inlineStr">
        <is>
          <t>EXA-0061</t>
        </is>
      </c>
      <c r="B242" t="n">
        <v>2023</v>
      </c>
      <c r="C242" s="31" t="n">
        <v>207540</v>
      </c>
      <c r="D242" t="inlineStr">
        <is>
          <t>연간 확정(가상)</t>
        </is>
      </c>
      <c r="E242" t="inlineStr">
        <is>
          <t>KRW 환산, 만원</t>
        </is>
      </c>
      <c r="F242" t="inlineStr">
        <is>
          <t>가상생성</t>
        </is>
      </c>
    </row>
    <row r="243" ht="21" customHeight="1" s="26">
      <c r="A243" t="inlineStr">
        <is>
          <t>EXA-0061</t>
        </is>
      </c>
      <c r="B243" t="n">
        <v>2024</v>
      </c>
      <c r="C243" s="31" t="n">
        <v>228462</v>
      </c>
      <c r="D243" t="inlineStr">
        <is>
          <t>연간 확정(가상)</t>
        </is>
      </c>
      <c r="E243" t="inlineStr">
        <is>
          <t>KRW 환산, 만원</t>
        </is>
      </c>
      <c r="F243" t="inlineStr">
        <is>
          <t>가상생성</t>
        </is>
      </c>
    </row>
    <row r="244" ht="21" customHeight="1" s="26">
      <c r="A244" t="inlineStr">
        <is>
          <t>EXA-0061</t>
        </is>
      </c>
      <c r="B244" t="n">
        <v>2025</v>
      </c>
      <c r="C244" s="31" t="n">
        <v>330228</v>
      </c>
      <c r="D244" t="inlineStr">
        <is>
          <t>연간 확정(가상)</t>
        </is>
      </c>
      <c r="E244" t="inlineStr">
        <is>
          <t>KRW 환산, 만원</t>
        </is>
      </c>
      <c r="F244" t="inlineStr">
        <is>
          <t>가상생성</t>
        </is>
      </c>
    </row>
    <row r="245" ht="21" customHeight="1" s="26">
      <c r="A245" t="inlineStr">
        <is>
          <t>EXA-0061</t>
        </is>
      </c>
      <c r="B245" t="n">
        <v>2026</v>
      </c>
      <c r="C245" s="31" t="n">
        <v>115425</v>
      </c>
      <c r="D245" t="inlineStr">
        <is>
          <t>1~3분기 누계</t>
        </is>
      </c>
      <c r="E245" t="inlineStr">
        <is>
          <t>KRW 환산, 만원</t>
        </is>
      </c>
      <c r="F245" t="inlineStr">
        <is>
          <t>가상생성</t>
        </is>
      </c>
    </row>
    <row r="246" ht="21" customHeight="1" s="26">
      <c r="A246" t="inlineStr">
        <is>
          <t>EXA-0062</t>
        </is>
      </c>
      <c r="B246" t="n">
        <v>2023</v>
      </c>
      <c r="C246" s="31" t="n">
        <v>148725</v>
      </c>
      <c r="D246" t="inlineStr">
        <is>
          <t>연간 확정(가상)</t>
        </is>
      </c>
      <c r="E246" t="inlineStr">
        <is>
          <t>KRW 환산, 만원</t>
        </is>
      </c>
      <c r="F246" t="inlineStr">
        <is>
          <t>가상생성</t>
        </is>
      </c>
    </row>
    <row r="247" ht="21" customHeight="1" s="26">
      <c r="A247" t="inlineStr">
        <is>
          <t>EXA-0062</t>
        </is>
      </c>
      <c r="B247" t="n">
        <v>2024</v>
      </c>
      <c r="C247" s="31" t="n">
        <v>202276</v>
      </c>
      <c r="D247" t="inlineStr">
        <is>
          <t>연간 확정(가상)</t>
        </is>
      </c>
      <c r="E247" t="inlineStr">
        <is>
          <t>KRW 환산, 만원</t>
        </is>
      </c>
      <c r="F247" t="inlineStr">
        <is>
          <t>가상생성</t>
        </is>
      </c>
    </row>
    <row r="248" ht="21" customHeight="1" s="26">
      <c r="A248" t="inlineStr">
        <is>
          <t>EXA-0062</t>
        </is>
      </c>
      <c r="B248" t="n">
        <v>2025</v>
      </c>
      <c r="C248" s="31" t="n">
        <v>195873</v>
      </c>
      <c r="D248" t="inlineStr">
        <is>
          <t>연간 확정(가상)</t>
        </is>
      </c>
      <c r="E248" t="inlineStr">
        <is>
          <t>KRW 환산, 만원</t>
        </is>
      </c>
      <c r="F248" t="inlineStr">
        <is>
          <t>가상생성</t>
        </is>
      </c>
    </row>
    <row r="249" ht="21" customHeight="1" s="26">
      <c r="A249" t="inlineStr">
        <is>
          <t>EXA-0062</t>
        </is>
      </c>
      <c r="B249" t="n">
        <v>2026</v>
      </c>
      <c r="C249" s="31" t="n">
        <v>106165</v>
      </c>
      <c r="D249" t="inlineStr">
        <is>
          <t>1~3분기 누계</t>
        </is>
      </c>
      <c r="E249" t="inlineStr">
        <is>
          <t>KRW 환산, 만원</t>
        </is>
      </c>
      <c r="F249" t="inlineStr">
        <is>
          <t>가상생성</t>
        </is>
      </c>
    </row>
    <row r="250" ht="21" customHeight="1" s="26">
      <c r="A250" t="inlineStr">
        <is>
          <t>EXA-0063</t>
        </is>
      </c>
      <c r="B250" t="n">
        <v>2023</v>
      </c>
      <c r="C250" s="31" t="n">
        <v>222814</v>
      </c>
      <c r="D250" t="inlineStr">
        <is>
          <t>연간 확정(가상)</t>
        </is>
      </c>
      <c r="E250" t="inlineStr">
        <is>
          <t>KRW 환산, 만원</t>
        </is>
      </c>
      <c r="F250" t="inlineStr">
        <is>
          <t>가상생성</t>
        </is>
      </c>
    </row>
    <row r="251" ht="21" customHeight="1" s="26">
      <c r="A251" t="inlineStr">
        <is>
          <t>EXA-0063</t>
        </is>
      </c>
      <c r="B251" t="n">
        <v>2024</v>
      </c>
      <c r="C251" s="31" t="n">
        <v>293418</v>
      </c>
      <c r="D251" t="inlineStr">
        <is>
          <t>연간 확정(가상)</t>
        </is>
      </c>
      <c r="E251" t="inlineStr">
        <is>
          <t>KRW 환산, 만원</t>
        </is>
      </c>
      <c r="F251" t="inlineStr">
        <is>
          <t>가상생성</t>
        </is>
      </c>
    </row>
    <row r="252" ht="21" customHeight="1" s="26">
      <c r="A252" t="inlineStr">
        <is>
          <t>EXA-0063</t>
        </is>
      </c>
      <c r="B252" t="n">
        <v>2025</v>
      </c>
      <c r="C252" s="31" t="n">
        <v>198349</v>
      </c>
      <c r="D252" t="inlineStr">
        <is>
          <t>연간 확정(가상)</t>
        </is>
      </c>
      <c r="E252" t="inlineStr">
        <is>
          <t>KRW 환산, 만원</t>
        </is>
      </c>
      <c r="F252" t="inlineStr">
        <is>
          <t>가상생성</t>
        </is>
      </c>
    </row>
    <row r="253" ht="21" customHeight="1" s="26">
      <c r="A253" t="inlineStr">
        <is>
          <t>EXA-0063</t>
        </is>
      </c>
      <c r="B253" t="n">
        <v>2026</v>
      </c>
      <c r="C253" s="31" t="n">
        <v>82298</v>
      </c>
      <c r="D253" t="inlineStr">
        <is>
          <t>1~3분기 누계</t>
        </is>
      </c>
      <c r="E253" t="inlineStr">
        <is>
          <t>KRW 환산, 만원</t>
        </is>
      </c>
      <c r="F253" t="inlineStr">
        <is>
          <t>가상생성</t>
        </is>
      </c>
    </row>
    <row r="254" ht="21" customHeight="1" s="26">
      <c r="A254" t="inlineStr">
        <is>
          <t>EXA-0064</t>
        </is>
      </c>
      <c r="B254" t="n">
        <v>2023</v>
      </c>
      <c r="C254" s="31" t="n">
        <v>109849</v>
      </c>
      <c r="D254" t="inlineStr">
        <is>
          <t>연간 확정(가상)</t>
        </is>
      </c>
      <c r="E254" t="inlineStr">
        <is>
          <t>KRW 환산, 만원</t>
        </is>
      </c>
      <c r="F254" t="inlineStr">
        <is>
          <t>가상생성</t>
        </is>
      </c>
    </row>
    <row r="255" ht="21" customHeight="1" s="26">
      <c r="A255" t="inlineStr">
        <is>
          <t>EXA-0064</t>
        </is>
      </c>
      <c r="B255" t="n">
        <v>2024</v>
      </c>
      <c r="C255" s="31" t="n">
        <v>80545</v>
      </c>
      <c r="D255" t="inlineStr">
        <is>
          <t>연간 확정(가상)</t>
        </is>
      </c>
      <c r="E255" t="inlineStr">
        <is>
          <t>KRW 환산, 만원</t>
        </is>
      </c>
      <c r="F255" t="inlineStr">
        <is>
          <t>가상생성</t>
        </is>
      </c>
    </row>
    <row r="256" ht="21" customHeight="1" s="26">
      <c r="A256" t="inlineStr">
        <is>
          <t>EXA-0064</t>
        </is>
      </c>
      <c r="B256" t="n">
        <v>2025</v>
      </c>
      <c r="C256" s="31" t="n">
        <v>71145</v>
      </c>
      <c r="D256" t="inlineStr">
        <is>
          <t>연간 확정(가상)</t>
        </is>
      </c>
      <c r="E256" t="inlineStr">
        <is>
          <t>KRW 환산, 만원</t>
        </is>
      </c>
      <c r="F256" t="inlineStr">
        <is>
          <t>가상생성</t>
        </is>
      </c>
    </row>
    <row r="257" ht="21" customHeight="1" s="26">
      <c r="A257" t="inlineStr">
        <is>
          <t>EXA-0064</t>
        </is>
      </c>
      <c r="B257" t="n">
        <v>2026</v>
      </c>
      <c r="C257" s="31" t="n">
        <v>50008</v>
      </c>
      <c r="D257" t="inlineStr">
        <is>
          <t>1~3분기 누계</t>
        </is>
      </c>
      <c r="E257" t="inlineStr">
        <is>
          <t>KRW 환산, 만원</t>
        </is>
      </c>
      <c r="F257" t="inlineStr">
        <is>
          <t>가상생성</t>
        </is>
      </c>
    </row>
    <row r="258" ht="21" customHeight="1" s="26">
      <c r="A258" t="inlineStr">
        <is>
          <t>EXA-0065</t>
        </is>
      </c>
      <c r="B258" t="n">
        <v>2023</v>
      </c>
      <c r="C258" s="31" t="n">
        <v>47917</v>
      </c>
      <c r="D258" t="inlineStr">
        <is>
          <t>연간 확정(가상)</t>
        </is>
      </c>
      <c r="E258" t="inlineStr">
        <is>
          <t>KRW 환산, 만원</t>
        </is>
      </c>
      <c r="F258" t="inlineStr">
        <is>
          <t>가상생성</t>
        </is>
      </c>
    </row>
    <row r="259" ht="21" customHeight="1" s="26">
      <c r="A259" t="inlineStr">
        <is>
          <t>EXA-0065</t>
        </is>
      </c>
      <c r="B259" t="n">
        <v>2024</v>
      </c>
      <c r="C259" s="31" t="n">
        <v>64139</v>
      </c>
      <c r="D259" t="inlineStr">
        <is>
          <t>연간 확정(가상)</t>
        </is>
      </c>
      <c r="E259" t="inlineStr">
        <is>
          <t>KRW 환산, 만원</t>
        </is>
      </c>
      <c r="F259" t="inlineStr">
        <is>
          <t>가상생성</t>
        </is>
      </c>
    </row>
    <row r="260" ht="21" customHeight="1" s="26">
      <c r="A260" t="inlineStr">
        <is>
          <t>EXA-0065</t>
        </is>
      </c>
      <c r="B260" t="n">
        <v>2025</v>
      </c>
      <c r="C260" s="31" t="n">
        <v>57200</v>
      </c>
      <c r="D260" t="inlineStr">
        <is>
          <t>연간 확정(가상)</t>
        </is>
      </c>
      <c r="E260" t="inlineStr">
        <is>
          <t>KRW 환산, 만원</t>
        </is>
      </c>
      <c r="F260" t="inlineStr">
        <is>
          <t>가상생성</t>
        </is>
      </c>
    </row>
    <row r="261" ht="21" customHeight="1" s="26">
      <c r="A261" t="inlineStr">
        <is>
          <t>EXA-0065</t>
        </is>
      </c>
      <c r="B261" t="n">
        <v>2026</v>
      </c>
      <c r="C261" s="31" t="n">
        <v>31983</v>
      </c>
      <c r="D261" t="inlineStr">
        <is>
          <t>1~3분기 누계</t>
        </is>
      </c>
      <c r="E261" t="inlineStr">
        <is>
          <t>KRW 환산, 만원</t>
        </is>
      </c>
      <c r="F261" t="inlineStr">
        <is>
          <t>가상생성</t>
        </is>
      </c>
    </row>
    <row r="262" ht="21" customHeight="1" s="26">
      <c r="A262" t="inlineStr">
        <is>
          <t>EXA-0066</t>
        </is>
      </c>
      <c r="B262" t="n">
        <v>2023</v>
      </c>
      <c r="C262" s="31" t="n">
        <v>38346</v>
      </c>
      <c r="D262" t="inlineStr">
        <is>
          <t>연간 확정(가상)</t>
        </is>
      </c>
      <c r="E262" t="inlineStr">
        <is>
          <t>KRW 환산, 만원</t>
        </is>
      </c>
      <c r="F262" t="inlineStr">
        <is>
          <t>가상생성</t>
        </is>
      </c>
    </row>
    <row r="263" ht="21" customHeight="1" s="26">
      <c r="A263" t="inlineStr">
        <is>
          <t>EXA-0066</t>
        </is>
      </c>
      <c r="B263" t="n">
        <v>2024</v>
      </c>
      <c r="C263" s="31" t="n">
        <v>45926</v>
      </c>
      <c r="D263" t="inlineStr">
        <is>
          <t>연간 확정(가상)</t>
        </is>
      </c>
      <c r="E263" t="inlineStr">
        <is>
          <t>KRW 환산, 만원</t>
        </is>
      </c>
      <c r="F263" t="inlineStr">
        <is>
          <t>가상생성</t>
        </is>
      </c>
    </row>
    <row r="264" ht="21" customHeight="1" s="26">
      <c r="A264" t="inlineStr">
        <is>
          <t>EXA-0066</t>
        </is>
      </c>
      <c r="B264" t="n">
        <v>2025</v>
      </c>
      <c r="C264" s="31" t="n">
        <v>32566</v>
      </c>
      <c r="D264" t="inlineStr">
        <is>
          <t>연간 확정(가상)</t>
        </is>
      </c>
      <c r="E264" t="inlineStr">
        <is>
          <t>KRW 환산, 만원</t>
        </is>
      </c>
      <c r="F264" t="inlineStr">
        <is>
          <t>가상생성</t>
        </is>
      </c>
    </row>
    <row r="265" ht="21" customHeight="1" s="26">
      <c r="A265" t="inlineStr">
        <is>
          <t>EXA-0066</t>
        </is>
      </c>
      <c r="B265" t="n">
        <v>2026</v>
      </c>
      <c r="C265" s="31" t="n">
        <v>13817</v>
      </c>
      <c r="D265" t="inlineStr">
        <is>
          <t>1~3분기 누계</t>
        </is>
      </c>
      <c r="E265" t="inlineStr">
        <is>
          <t>KRW 환산, 만원</t>
        </is>
      </c>
      <c r="F265" t="inlineStr">
        <is>
          <t>가상생성</t>
        </is>
      </c>
    </row>
    <row r="266" ht="21" customHeight="1" s="26">
      <c r="A266" t="inlineStr">
        <is>
          <t>EXA-0067</t>
        </is>
      </c>
      <c r="B266" t="n">
        <v>2023</v>
      </c>
      <c r="C266" s="31" t="n">
        <v>22559</v>
      </c>
      <c r="D266" t="inlineStr">
        <is>
          <t>연간 확정(가상)</t>
        </is>
      </c>
      <c r="E266" t="inlineStr">
        <is>
          <t>KRW 환산, 만원</t>
        </is>
      </c>
      <c r="F266" t="inlineStr">
        <is>
          <t>가상생성</t>
        </is>
      </c>
    </row>
    <row r="267" ht="21" customHeight="1" s="26">
      <c r="A267" t="inlineStr">
        <is>
          <t>EXA-0067</t>
        </is>
      </c>
      <c r="B267" t="n">
        <v>2024</v>
      </c>
      <c r="C267" s="31" t="n">
        <v>28294</v>
      </c>
      <c r="D267" t="inlineStr">
        <is>
          <t>연간 확정(가상)</t>
        </is>
      </c>
      <c r="E267" t="inlineStr">
        <is>
          <t>KRW 환산, 만원</t>
        </is>
      </c>
      <c r="F267" t="inlineStr">
        <is>
          <t>가상생성</t>
        </is>
      </c>
    </row>
    <row r="268" ht="21" customHeight="1" s="26">
      <c r="A268" t="inlineStr">
        <is>
          <t>EXA-0067</t>
        </is>
      </c>
      <c r="B268" t="n">
        <v>2025</v>
      </c>
      <c r="C268" s="31" t="n">
        <v>23101</v>
      </c>
      <c r="D268" t="inlineStr">
        <is>
          <t>연간 확정(가상)</t>
        </is>
      </c>
      <c r="E268" t="inlineStr">
        <is>
          <t>KRW 환산, 만원</t>
        </is>
      </c>
      <c r="F268" t="inlineStr">
        <is>
          <t>가상생성</t>
        </is>
      </c>
    </row>
    <row r="269" ht="21" customHeight="1" s="26">
      <c r="A269" t="inlineStr">
        <is>
          <t>EXA-0067</t>
        </is>
      </c>
      <c r="B269" t="n">
        <v>2026</v>
      </c>
      <c r="C269" s="31" t="n">
        <v>10226</v>
      </c>
      <c r="D269" t="inlineStr">
        <is>
          <t>1~3분기 누계</t>
        </is>
      </c>
      <c r="E269" t="inlineStr">
        <is>
          <t>KRW 환산, 만원</t>
        </is>
      </c>
      <c r="F269" t="inlineStr">
        <is>
          <t>가상생성</t>
        </is>
      </c>
    </row>
    <row r="270" ht="21" customHeight="1" s="26">
      <c r="A270" t="inlineStr">
        <is>
          <t>EXA-0068</t>
        </is>
      </c>
      <c r="B270" t="n">
        <v>2023</v>
      </c>
      <c r="C270" s="31" t="n">
        <v>156257</v>
      </c>
      <c r="D270" t="inlineStr">
        <is>
          <t>연간 확정(가상)</t>
        </is>
      </c>
      <c r="E270" t="inlineStr">
        <is>
          <t>KRW 환산, 만원</t>
        </is>
      </c>
      <c r="F270" t="inlineStr">
        <is>
          <t>가상생성</t>
        </is>
      </c>
    </row>
    <row r="271" ht="21" customHeight="1" s="26">
      <c r="A271" t="inlineStr">
        <is>
          <t>EXA-0068</t>
        </is>
      </c>
      <c r="B271" t="n">
        <v>2024</v>
      </c>
      <c r="C271" s="31" t="n">
        <v>146639</v>
      </c>
      <c r="D271" t="inlineStr">
        <is>
          <t>연간 확정(가상)</t>
        </is>
      </c>
      <c r="E271" t="inlineStr">
        <is>
          <t>KRW 환산, 만원</t>
        </is>
      </c>
      <c r="F271" t="inlineStr">
        <is>
          <t>가상생성</t>
        </is>
      </c>
    </row>
    <row r="272" ht="21" customHeight="1" s="26">
      <c r="A272" t="inlineStr">
        <is>
          <t>EXA-0068</t>
        </is>
      </c>
      <c r="B272" t="n">
        <v>2025</v>
      </c>
      <c r="C272" s="31" t="n">
        <v>241560</v>
      </c>
      <c r="D272" t="inlineStr">
        <is>
          <t>연간 확정(가상)</t>
        </is>
      </c>
      <c r="E272" t="inlineStr">
        <is>
          <t>KRW 환산, 만원</t>
        </is>
      </c>
      <c r="F272" t="inlineStr">
        <is>
          <t>가상생성</t>
        </is>
      </c>
    </row>
    <row r="273" ht="21" customHeight="1" s="26">
      <c r="A273" t="inlineStr">
        <is>
          <t>EXA-0068</t>
        </is>
      </c>
      <c r="B273" t="n">
        <v>2026</v>
      </c>
      <c r="C273" s="31" t="n">
        <v>174000</v>
      </c>
      <c r="D273" t="inlineStr">
        <is>
          <t>1~3분기 누계</t>
        </is>
      </c>
      <c r="E273" t="inlineStr">
        <is>
          <t>KRW 환산, 만원</t>
        </is>
      </c>
      <c r="F273" t="inlineStr">
        <is>
          <t>가상생성</t>
        </is>
      </c>
    </row>
    <row r="274" ht="21" customHeight="1" s="26">
      <c r="A274" t="inlineStr">
        <is>
          <t>EXA-0069</t>
        </is>
      </c>
      <c r="B274" t="n">
        <v>2023</v>
      </c>
      <c r="C274" s="31" t="n">
        <v>37674</v>
      </c>
      <c r="D274" t="inlineStr">
        <is>
          <t>연간 확정(가상)</t>
        </is>
      </c>
      <c r="E274" t="inlineStr">
        <is>
          <t>KRW 환산, 만원</t>
        </is>
      </c>
      <c r="F274" t="inlineStr">
        <is>
          <t>가상생성</t>
        </is>
      </c>
    </row>
    <row r="275" ht="21" customHeight="1" s="26">
      <c r="A275" t="inlineStr">
        <is>
          <t>EXA-0069</t>
        </is>
      </c>
      <c r="B275" t="n">
        <v>2024</v>
      </c>
      <c r="C275" s="31" t="n">
        <v>45583</v>
      </c>
      <c r="D275" t="inlineStr">
        <is>
          <t>연간 확정(가상)</t>
        </is>
      </c>
      <c r="E275" t="inlineStr">
        <is>
          <t>KRW 환산, 만원</t>
        </is>
      </c>
      <c r="F275" t="inlineStr">
        <is>
          <t>가상생성</t>
        </is>
      </c>
    </row>
    <row r="276" ht="21" customHeight="1" s="26">
      <c r="A276" t="inlineStr">
        <is>
          <t>EXA-0069</t>
        </is>
      </c>
      <c r="B276" t="n">
        <v>2025</v>
      </c>
      <c r="C276" s="31" t="n">
        <v>61939</v>
      </c>
      <c r="D276" t="inlineStr">
        <is>
          <t>연간 확정(가상)</t>
        </is>
      </c>
      <c r="E276" t="inlineStr">
        <is>
          <t>KRW 환산, 만원</t>
        </is>
      </c>
      <c r="F276" t="inlineStr">
        <is>
          <t>가상생성</t>
        </is>
      </c>
    </row>
    <row r="277" ht="21" customHeight="1" s="26">
      <c r="A277" t="inlineStr">
        <is>
          <t>EXA-0069</t>
        </is>
      </c>
      <c r="B277" t="n">
        <v>2026</v>
      </c>
      <c r="C277" s="31" t="n">
        <v>27830</v>
      </c>
      <c r="D277" t="inlineStr">
        <is>
          <t>1~3분기 누계</t>
        </is>
      </c>
      <c r="E277" t="inlineStr">
        <is>
          <t>KRW 환산, 만원</t>
        </is>
      </c>
      <c r="F277" t="inlineStr">
        <is>
          <t>가상생성</t>
        </is>
      </c>
    </row>
    <row r="278" ht="21" customHeight="1" s="26">
      <c r="A278" t="inlineStr">
        <is>
          <t>EXA-0070</t>
        </is>
      </c>
      <c r="B278" t="n">
        <v>2023</v>
      </c>
      <c r="C278" s="31" t="n">
        <v>10836</v>
      </c>
      <c r="D278" t="inlineStr">
        <is>
          <t>연간 확정(가상)</t>
        </is>
      </c>
      <c r="E278" t="inlineStr">
        <is>
          <t>KRW 환산, 만원</t>
        </is>
      </c>
      <c r="F278" t="inlineStr">
        <is>
          <t>가상생성</t>
        </is>
      </c>
    </row>
    <row r="279" ht="21" customHeight="1" s="26">
      <c r="A279" t="inlineStr">
        <is>
          <t>EXA-0070</t>
        </is>
      </c>
      <c r="B279" t="n">
        <v>2024</v>
      </c>
      <c r="C279" s="31" t="n">
        <v>12725</v>
      </c>
      <c r="D279" t="inlineStr">
        <is>
          <t>연간 확정(가상)</t>
        </is>
      </c>
      <c r="E279" t="inlineStr">
        <is>
          <t>KRW 환산, 만원</t>
        </is>
      </c>
      <c r="F279" t="inlineStr">
        <is>
          <t>가상생성</t>
        </is>
      </c>
    </row>
    <row r="280" ht="21" customHeight="1" s="26">
      <c r="A280" t="inlineStr">
        <is>
          <t>EXA-0070</t>
        </is>
      </c>
      <c r="B280" t="n">
        <v>2025</v>
      </c>
      <c r="C280" s="31" t="n">
        <v>8177</v>
      </c>
      <c r="D280" t="inlineStr">
        <is>
          <t>연간 확정(가상)</t>
        </is>
      </c>
      <c r="E280" t="inlineStr">
        <is>
          <t>KRW 환산, 만원</t>
        </is>
      </c>
      <c r="F280" t="inlineStr">
        <is>
          <t>가상생성</t>
        </is>
      </c>
    </row>
    <row r="281" ht="21" customHeight="1" s="26">
      <c r="A281" t="inlineStr">
        <is>
          <t>EXA-0070</t>
        </is>
      </c>
      <c r="B281" t="n">
        <v>2026</v>
      </c>
      <c r="C281" s="31" t="n">
        <v>7086</v>
      </c>
      <c r="D281" t="inlineStr">
        <is>
          <t>1~3분기 누계</t>
        </is>
      </c>
      <c r="E281" t="inlineStr">
        <is>
          <t>KRW 환산, 만원</t>
        </is>
      </c>
      <c r="F281" t="inlineStr">
        <is>
          <t>가상생성</t>
        </is>
      </c>
    </row>
    <row r="282" ht="21" customHeight="1" s="26">
      <c r="A282" t="inlineStr">
        <is>
          <t>EXA-0071</t>
        </is>
      </c>
      <c r="B282" t="n">
        <v>2023</v>
      </c>
      <c r="C282" s="31" t="n">
        <v>250082</v>
      </c>
      <c r="D282" t="inlineStr">
        <is>
          <t>연간 확정(가상)</t>
        </is>
      </c>
      <c r="E282" t="inlineStr">
        <is>
          <t>KRW 환산, 만원</t>
        </is>
      </c>
      <c r="F282" t="inlineStr">
        <is>
          <t>가상생성</t>
        </is>
      </c>
    </row>
    <row r="283" ht="21" customHeight="1" s="26">
      <c r="A283" t="inlineStr">
        <is>
          <t>EXA-0071</t>
        </is>
      </c>
      <c r="B283" t="n">
        <v>2024</v>
      </c>
      <c r="C283" s="31" t="n">
        <v>232270</v>
      </c>
      <c r="D283" t="inlineStr">
        <is>
          <t>연간 확정(가상)</t>
        </is>
      </c>
      <c r="E283" t="inlineStr">
        <is>
          <t>KRW 환산, 만원</t>
        </is>
      </c>
      <c r="F283" t="inlineStr">
        <is>
          <t>가상생성</t>
        </is>
      </c>
    </row>
    <row r="284" ht="21" customHeight="1" s="26">
      <c r="A284" t="inlineStr">
        <is>
          <t>EXA-0071</t>
        </is>
      </c>
      <c r="B284" t="n">
        <v>2025</v>
      </c>
      <c r="C284" s="31" t="n">
        <v>177150</v>
      </c>
      <c r="D284" t="inlineStr">
        <is>
          <t>연간 확정(가상)</t>
        </is>
      </c>
      <c r="E284" t="inlineStr">
        <is>
          <t>KRW 환산, 만원</t>
        </is>
      </c>
      <c r="F284" t="inlineStr">
        <is>
          <t>가상생성</t>
        </is>
      </c>
    </row>
    <row r="285" ht="21" customHeight="1" s="26">
      <c r="A285" t="inlineStr">
        <is>
          <t>EXA-0071</t>
        </is>
      </c>
      <c r="B285" t="n">
        <v>2026</v>
      </c>
      <c r="C285" s="31" t="n">
        <v>151389</v>
      </c>
      <c r="D285" t="inlineStr">
        <is>
          <t>1~3분기 누계</t>
        </is>
      </c>
      <c r="E285" t="inlineStr">
        <is>
          <t>KRW 환산, 만원</t>
        </is>
      </c>
      <c r="F285" t="inlineStr">
        <is>
          <t>가상생성</t>
        </is>
      </c>
    </row>
    <row r="286" ht="21" customHeight="1" s="26">
      <c r="A286" t="inlineStr">
        <is>
          <t>EXA-0072</t>
        </is>
      </c>
      <c r="B286" t="n">
        <v>2023</v>
      </c>
      <c r="C286" s="31" t="n">
        <v>167758</v>
      </c>
      <c r="D286" t="inlineStr">
        <is>
          <t>연간 확정(가상)</t>
        </is>
      </c>
      <c r="E286" t="inlineStr">
        <is>
          <t>KRW 환산, 만원</t>
        </is>
      </c>
      <c r="F286" t="inlineStr">
        <is>
          <t>가상생성</t>
        </is>
      </c>
    </row>
    <row r="287" ht="21" customHeight="1" s="26">
      <c r="A287" t="inlineStr">
        <is>
          <t>EXA-0072</t>
        </is>
      </c>
      <c r="B287" t="n">
        <v>2024</v>
      </c>
      <c r="C287" s="31" t="n">
        <v>196411</v>
      </c>
      <c r="D287" t="inlineStr">
        <is>
          <t>연간 확정(가상)</t>
        </is>
      </c>
      <c r="E287" t="inlineStr">
        <is>
          <t>KRW 환산, 만원</t>
        </is>
      </c>
      <c r="F287" t="inlineStr">
        <is>
          <t>가상생성</t>
        </is>
      </c>
    </row>
    <row r="288" ht="21" customHeight="1" s="26">
      <c r="A288" t="inlineStr">
        <is>
          <t>EXA-0072</t>
        </is>
      </c>
      <c r="B288" t="n">
        <v>2025</v>
      </c>
      <c r="C288" s="31" t="n">
        <v>195004</v>
      </c>
      <c r="D288" t="inlineStr">
        <is>
          <t>연간 확정(가상)</t>
        </is>
      </c>
      <c r="E288" t="inlineStr">
        <is>
          <t>KRW 환산, 만원</t>
        </is>
      </c>
      <c r="F288" t="inlineStr">
        <is>
          <t>가상생성</t>
        </is>
      </c>
    </row>
    <row r="289" ht="21" customHeight="1" s="26">
      <c r="A289" t="inlineStr">
        <is>
          <t>EXA-0072</t>
        </is>
      </c>
      <c r="B289" t="n">
        <v>2026</v>
      </c>
      <c r="C289" s="31" t="n">
        <v>119848</v>
      </c>
      <c r="D289" t="inlineStr">
        <is>
          <t>1~3분기 누계</t>
        </is>
      </c>
      <c r="E289" t="inlineStr">
        <is>
          <t>KRW 환산, 만원</t>
        </is>
      </c>
      <c r="F289" t="inlineStr">
        <is>
          <t>가상생성</t>
        </is>
      </c>
    </row>
    <row r="290" ht="21" customHeight="1" s="26">
      <c r="A290" t="inlineStr">
        <is>
          <t>EXA-0073</t>
        </is>
      </c>
      <c r="B290" t="n">
        <v>2023</v>
      </c>
      <c r="C290" s="31" t="n">
        <v>233168</v>
      </c>
      <c r="D290" t="inlineStr">
        <is>
          <t>연간 확정(가상)</t>
        </is>
      </c>
      <c r="E290" t="inlineStr">
        <is>
          <t>KRW 환산, 만원</t>
        </is>
      </c>
      <c r="F290" t="inlineStr">
        <is>
          <t>가상생성</t>
        </is>
      </c>
    </row>
    <row r="291" ht="21" customHeight="1" s="26">
      <c r="A291" t="inlineStr">
        <is>
          <t>EXA-0073</t>
        </is>
      </c>
      <c r="B291" t="n">
        <v>2024</v>
      </c>
      <c r="C291" s="31" t="n">
        <v>317383</v>
      </c>
      <c r="D291" t="inlineStr">
        <is>
          <t>연간 확정(가상)</t>
        </is>
      </c>
      <c r="E291" t="inlineStr">
        <is>
          <t>KRW 환산, 만원</t>
        </is>
      </c>
      <c r="F291" t="inlineStr">
        <is>
          <t>가상생성</t>
        </is>
      </c>
    </row>
    <row r="292" ht="21" customHeight="1" s="26">
      <c r="A292" t="inlineStr">
        <is>
          <t>EXA-0073</t>
        </is>
      </c>
      <c r="B292" t="n">
        <v>2025</v>
      </c>
      <c r="C292" s="31" t="n">
        <v>431016</v>
      </c>
      <c r="D292" t="inlineStr">
        <is>
          <t>연간 확정(가상)</t>
        </is>
      </c>
      <c r="E292" t="inlineStr">
        <is>
          <t>KRW 환산, 만원</t>
        </is>
      </c>
      <c r="F292" t="inlineStr">
        <is>
          <t>가상생성</t>
        </is>
      </c>
    </row>
    <row r="293" ht="21" customHeight="1" s="26">
      <c r="A293" t="inlineStr">
        <is>
          <t>EXA-0073</t>
        </is>
      </c>
      <c r="B293" t="n">
        <v>2026</v>
      </c>
      <c r="C293" s="31" t="n">
        <v>217264</v>
      </c>
      <c r="D293" t="inlineStr">
        <is>
          <t>1~3분기 누계</t>
        </is>
      </c>
      <c r="E293" t="inlineStr">
        <is>
          <t>KRW 환산, 만원</t>
        </is>
      </c>
      <c r="F293" t="inlineStr">
        <is>
          <t>가상생성</t>
        </is>
      </c>
    </row>
    <row r="294" ht="21" customHeight="1" s="26">
      <c r="A294" t="inlineStr">
        <is>
          <t>EXA-0074</t>
        </is>
      </c>
      <c r="B294" t="n">
        <v>2023</v>
      </c>
      <c r="C294" s="31" t="n">
        <v>82371</v>
      </c>
      <c r="D294" t="inlineStr">
        <is>
          <t>연간 확정(가상)</t>
        </is>
      </c>
      <c r="E294" t="inlineStr">
        <is>
          <t>KRW 환산, 만원</t>
        </is>
      </c>
      <c r="F294" t="inlineStr">
        <is>
          <t>가상생성</t>
        </is>
      </c>
    </row>
    <row r="295" ht="21" customHeight="1" s="26">
      <c r="A295" t="inlineStr">
        <is>
          <t>EXA-0074</t>
        </is>
      </c>
      <c r="B295" t="n">
        <v>2024</v>
      </c>
      <c r="C295" s="31" t="n">
        <v>78991</v>
      </c>
      <c r="D295" t="inlineStr">
        <is>
          <t>연간 확정(가상)</t>
        </is>
      </c>
      <c r="E295" t="inlineStr">
        <is>
          <t>KRW 환산, 만원</t>
        </is>
      </c>
      <c r="F295" t="inlineStr">
        <is>
          <t>가상생성</t>
        </is>
      </c>
    </row>
    <row r="296" ht="21" customHeight="1" s="26">
      <c r="A296" t="inlineStr">
        <is>
          <t>EXA-0074</t>
        </is>
      </c>
      <c r="B296" t="n">
        <v>2025</v>
      </c>
      <c r="C296" s="31" t="n">
        <v>68661</v>
      </c>
      <c r="D296" t="inlineStr">
        <is>
          <t>연간 확정(가상)</t>
        </is>
      </c>
      <c r="E296" t="inlineStr">
        <is>
          <t>KRW 환산, 만원</t>
        </is>
      </c>
      <c r="F296" t="inlineStr">
        <is>
          <t>가상생성</t>
        </is>
      </c>
    </row>
    <row r="297" ht="21" customHeight="1" s="26">
      <c r="A297" t="inlineStr">
        <is>
          <t>EXA-0074</t>
        </is>
      </c>
      <c r="B297" t="n">
        <v>2026</v>
      </c>
      <c r="C297" s="31" t="n">
        <v>36298</v>
      </c>
      <c r="D297" t="inlineStr">
        <is>
          <t>1~3분기 누계</t>
        </is>
      </c>
      <c r="E297" t="inlineStr">
        <is>
          <t>KRW 환산, 만원</t>
        </is>
      </c>
      <c r="F297" t="inlineStr">
        <is>
          <t>가상생성</t>
        </is>
      </c>
    </row>
    <row r="298" ht="21" customHeight="1" s="26">
      <c r="A298" t="inlineStr">
        <is>
          <t>EXA-0075</t>
        </is>
      </c>
      <c r="B298" t="n">
        <v>2023</v>
      </c>
      <c r="C298" s="31" t="n">
        <v>178127</v>
      </c>
      <c r="D298" t="inlineStr">
        <is>
          <t>연간 확정(가상)</t>
        </is>
      </c>
      <c r="E298" t="inlineStr">
        <is>
          <t>KRW 환산, 만원</t>
        </is>
      </c>
      <c r="F298" t="inlineStr">
        <is>
          <t>가상생성</t>
        </is>
      </c>
    </row>
    <row r="299" ht="21" customHeight="1" s="26">
      <c r="A299" t="inlineStr">
        <is>
          <t>EXA-0075</t>
        </is>
      </c>
      <c r="B299" t="n">
        <v>2024</v>
      </c>
      <c r="C299" s="31" t="n">
        <v>192511</v>
      </c>
      <c r="D299" t="inlineStr">
        <is>
          <t>연간 확정(가상)</t>
        </is>
      </c>
      <c r="E299" t="inlineStr">
        <is>
          <t>KRW 환산, 만원</t>
        </is>
      </c>
      <c r="F299" t="inlineStr">
        <is>
          <t>가상생성</t>
        </is>
      </c>
    </row>
    <row r="300" ht="21" customHeight="1" s="26">
      <c r="A300" t="inlineStr">
        <is>
          <t>EXA-0075</t>
        </is>
      </c>
      <c r="B300" t="n">
        <v>2025</v>
      </c>
      <c r="C300" s="31" t="n">
        <v>232116</v>
      </c>
      <c r="D300" t="inlineStr">
        <is>
          <t>연간 확정(가상)</t>
        </is>
      </c>
      <c r="E300" t="inlineStr">
        <is>
          <t>KRW 환산, 만원</t>
        </is>
      </c>
      <c r="F300" t="inlineStr">
        <is>
          <t>가상생성</t>
        </is>
      </c>
    </row>
    <row r="301" ht="21" customHeight="1" s="26">
      <c r="A301" t="inlineStr">
        <is>
          <t>EXA-0075</t>
        </is>
      </c>
      <c r="B301" t="n">
        <v>2026</v>
      </c>
      <c r="C301" s="31" t="n">
        <v>176121</v>
      </c>
      <c r="D301" t="inlineStr">
        <is>
          <t>1~3분기 누계</t>
        </is>
      </c>
      <c r="E301" t="inlineStr">
        <is>
          <t>KRW 환산, 만원</t>
        </is>
      </c>
      <c r="F301" t="inlineStr">
        <is>
          <t>가상생성</t>
        </is>
      </c>
    </row>
    <row r="302" ht="21" customHeight="1" s="26">
      <c r="A302" t="inlineStr">
        <is>
          <t>EXA-0076</t>
        </is>
      </c>
      <c r="B302" t="n">
        <v>2023</v>
      </c>
      <c r="C302" s="31" t="n">
        <v>144398</v>
      </c>
      <c r="D302" t="inlineStr">
        <is>
          <t>연간 확정(가상)</t>
        </is>
      </c>
      <c r="E302" t="inlineStr">
        <is>
          <t>KRW 환산, 만원</t>
        </is>
      </c>
      <c r="F302" t="inlineStr">
        <is>
          <t>가상생성</t>
        </is>
      </c>
    </row>
    <row r="303" ht="21" customHeight="1" s="26">
      <c r="A303" t="inlineStr">
        <is>
          <t>EXA-0076</t>
        </is>
      </c>
      <c r="B303" t="n">
        <v>2024</v>
      </c>
      <c r="C303" s="31" t="n">
        <v>188954</v>
      </c>
      <c r="D303" t="inlineStr">
        <is>
          <t>연간 확정(가상)</t>
        </is>
      </c>
      <c r="E303" t="inlineStr">
        <is>
          <t>KRW 환산, 만원</t>
        </is>
      </c>
      <c r="F303" t="inlineStr">
        <is>
          <t>가상생성</t>
        </is>
      </c>
    </row>
    <row r="304" ht="21" customHeight="1" s="26">
      <c r="A304" t="inlineStr">
        <is>
          <t>EXA-0076</t>
        </is>
      </c>
      <c r="B304" t="n">
        <v>2025</v>
      </c>
      <c r="C304" s="31" t="n">
        <v>178387</v>
      </c>
      <c r="D304" t="inlineStr">
        <is>
          <t>연간 확정(가상)</t>
        </is>
      </c>
      <c r="E304" t="inlineStr">
        <is>
          <t>KRW 환산, 만원</t>
        </is>
      </c>
      <c r="F304" t="inlineStr">
        <is>
          <t>가상생성</t>
        </is>
      </c>
    </row>
    <row r="305" ht="21" customHeight="1" s="26">
      <c r="A305" t="inlineStr">
        <is>
          <t>EXA-0076</t>
        </is>
      </c>
      <c r="B305" t="n">
        <v>2026</v>
      </c>
      <c r="C305" s="31" t="n">
        <v>118630</v>
      </c>
      <c r="D305" t="inlineStr">
        <is>
          <t>1~3분기 누계</t>
        </is>
      </c>
      <c r="E305" t="inlineStr">
        <is>
          <t>KRW 환산, 만원</t>
        </is>
      </c>
      <c r="F305" t="inlineStr">
        <is>
          <t>가상생성</t>
        </is>
      </c>
    </row>
    <row r="306" ht="21" customHeight="1" s="26">
      <c r="A306" t="inlineStr">
        <is>
          <t>EXA-0077</t>
        </is>
      </c>
      <c r="B306" t="n">
        <v>2023</v>
      </c>
      <c r="C306" s="31" t="n">
        <v>214775</v>
      </c>
      <c r="D306" t="inlineStr">
        <is>
          <t>연간 확정(가상)</t>
        </is>
      </c>
      <c r="E306" t="inlineStr">
        <is>
          <t>KRW 환산, 만원</t>
        </is>
      </c>
      <c r="F306" t="inlineStr">
        <is>
          <t>가상생성</t>
        </is>
      </c>
    </row>
    <row r="307" ht="21" customHeight="1" s="26">
      <c r="A307" t="inlineStr">
        <is>
          <t>EXA-0077</t>
        </is>
      </c>
      <c r="B307" t="n">
        <v>2024</v>
      </c>
      <c r="C307" s="31" t="n">
        <v>231936</v>
      </c>
      <c r="D307" t="inlineStr">
        <is>
          <t>연간 확정(가상)</t>
        </is>
      </c>
      <c r="E307" t="inlineStr">
        <is>
          <t>KRW 환산, 만원</t>
        </is>
      </c>
      <c r="F307" t="inlineStr">
        <is>
          <t>가상생성</t>
        </is>
      </c>
    </row>
    <row r="308" ht="21" customHeight="1" s="26">
      <c r="A308" t="inlineStr">
        <is>
          <t>EXA-0077</t>
        </is>
      </c>
      <c r="B308" t="n">
        <v>2025</v>
      </c>
      <c r="C308" s="31" t="n">
        <v>319703</v>
      </c>
      <c r="D308" t="inlineStr">
        <is>
          <t>연간 확정(가상)</t>
        </is>
      </c>
      <c r="E308" t="inlineStr">
        <is>
          <t>KRW 환산, 만원</t>
        </is>
      </c>
      <c r="F308" t="inlineStr">
        <is>
          <t>가상생성</t>
        </is>
      </c>
    </row>
    <row r="309" ht="21" customHeight="1" s="26">
      <c r="A309" t="inlineStr">
        <is>
          <t>EXA-0077</t>
        </is>
      </c>
      <c r="B309" t="n">
        <v>2026</v>
      </c>
      <c r="C309" s="31" t="n">
        <v>134603</v>
      </c>
      <c r="D309" t="inlineStr">
        <is>
          <t>1~3분기 누계</t>
        </is>
      </c>
      <c r="E309" t="inlineStr">
        <is>
          <t>KRW 환산, 만원</t>
        </is>
      </c>
      <c r="F309" t="inlineStr">
        <is>
          <t>가상생성</t>
        </is>
      </c>
    </row>
    <row r="310" ht="21" customHeight="1" s="26">
      <c r="A310" t="inlineStr">
        <is>
          <t>EXA-0078</t>
        </is>
      </c>
      <c r="B310" t="n">
        <v>2023</v>
      </c>
      <c r="C310" s="31" t="n">
        <v>5301</v>
      </c>
      <c r="D310" t="inlineStr">
        <is>
          <t>연간 확정(가상)</t>
        </is>
      </c>
      <c r="E310" t="inlineStr">
        <is>
          <t>KRW 환산, 만원</t>
        </is>
      </c>
      <c r="F310" t="inlineStr">
        <is>
          <t>가상생성</t>
        </is>
      </c>
    </row>
    <row r="311" ht="21" customHeight="1" s="26">
      <c r="A311" t="inlineStr">
        <is>
          <t>EXA-0078</t>
        </is>
      </c>
      <c r="B311" t="n">
        <v>2024</v>
      </c>
      <c r="C311" s="31" t="n">
        <v>5098</v>
      </c>
      <c r="D311" t="inlineStr">
        <is>
          <t>연간 확정(가상)</t>
        </is>
      </c>
      <c r="E311" t="inlineStr">
        <is>
          <t>KRW 환산, 만원</t>
        </is>
      </c>
      <c r="F311" t="inlineStr">
        <is>
          <t>가상생성</t>
        </is>
      </c>
    </row>
    <row r="312" ht="21" customHeight="1" s="26">
      <c r="A312" t="inlineStr">
        <is>
          <t>EXA-0078</t>
        </is>
      </c>
      <c r="B312" t="n">
        <v>2025</v>
      </c>
      <c r="C312" s="31" t="n">
        <v>7762</v>
      </c>
      <c r="D312" t="inlineStr">
        <is>
          <t>연간 확정(가상)</t>
        </is>
      </c>
      <c r="E312" t="inlineStr">
        <is>
          <t>KRW 환산, 만원</t>
        </is>
      </c>
      <c r="F312" t="inlineStr">
        <is>
          <t>가상생성</t>
        </is>
      </c>
    </row>
    <row r="313" ht="21" customHeight="1" s="26">
      <c r="A313" t="inlineStr">
        <is>
          <t>EXA-0078</t>
        </is>
      </c>
      <c r="B313" t="n">
        <v>2026</v>
      </c>
      <c r="C313" s="31" t="n">
        <v>4466</v>
      </c>
      <c r="D313" t="inlineStr">
        <is>
          <t>1~3분기 누계</t>
        </is>
      </c>
      <c r="E313" t="inlineStr">
        <is>
          <t>KRW 환산, 만원</t>
        </is>
      </c>
      <c r="F313" t="inlineStr">
        <is>
          <t>가상생성</t>
        </is>
      </c>
    </row>
    <row r="314" ht="21" customHeight="1" s="26">
      <c r="A314" t="inlineStr">
        <is>
          <t>EXA-0079</t>
        </is>
      </c>
      <c r="B314" t="n">
        <v>2023</v>
      </c>
      <c r="C314" s="31" t="n">
        <v>136418</v>
      </c>
      <c r="D314" t="inlineStr">
        <is>
          <t>연간 확정(가상)</t>
        </is>
      </c>
      <c r="E314" t="inlineStr">
        <is>
          <t>KRW 환산, 만원</t>
        </is>
      </c>
      <c r="F314" t="inlineStr">
        <is>
          <t>가상생성</t>
        </is>
      </c>
    </row>
    <row r="315" ht="21" customHeight="1" s="26">
      <c r="A315" t="inlineStr">
        <is>
          <t>EXA-0079</t>
        </is>
      </c>
      <c r="B315" t="n">
        <v>2024</v>
      </c>
      <c r="C315" s="31" t="n">
        <v>188925</v>
      </c>
      <c r="D315" t="inlineStr">
        <is>
          <t>연간 확정(가상)</t>
        </is>
      </c>
      <c r="E315" t="inlineStr">
        <is>
          <t>KRW 환산, 만원</t>
        </is>
      </c>
      <c r="F315" t="inlineStr">
        <is>
          <t>가상생성</t>
        </is>
      </c>
    </row>
    <row r="316" ht="21" customHeight="1" s="26">
      <c r="A316" t="inlineStr">
        <is>
          <t>EXA-0079</t>
        </is>
      </c>
      <c r="B316" t="n">
        <v>2025</v>
      </c>
      <c r="C316" s="31" t="n">
        <v>255680</v>
      </c>
      <c r="D316" t="inlineStr">
        <is>
          <t>연간 확정(가상)</t>
        </is>
      </c>
      <c r="E316" t="inlineStr">
        <is>
          <t>KRW 환산, 만원</t>
        </is>
      </c>
      <c r="F316" t="inlineStr">
        <is>
          <t>가상생성</t>
        </is>
      </c>
    </row>
    <row r="317" ht="21" customHeight="1" s="26">
      <c r="A317" t="inlineStr">
        <is>
          <t>EXA-0079</t>
        </is>
      </c>
      <c r="B317" t="n">
        <v>2026</v>
      </c>
      <c r="C317" s="31" t="n">
        <v>150454</v>
      </c>
      <c r="D317" t="inlineStr">
        <is>
          <t>1~3분기 누계</t>
        </is>
      </c>
      <c r="E317" t="inlineStr">
        <is>
          <t>KRW 환산, 만원</t>
        </is>
      </c>
      <c r="F317" t="inlineStr">
        <is>
          <t>가상생성</t>
        </is>
      </c>
    </row>
    <row r="318" ht="21" customHeight="1" s="26">
      <c r="A318" t="inlineStr">
        <is>
          <t>EXA-0080</t>
        </is>
      </c>
      <c r="B318" t="n">
        <v>2023</v>
      </c>
      <c r="C318" s="31" t="n">
        <v>99468</v>
      </c>
      <c r="D318" t="inlineStr">
        <is>
          <t>연간 확정(가상)</t>
        </is>
      </c>
      <c r="E318" t="inlineStr">
        <is>
          <t>KRW 환산, 만원</t>
        </is>
      </c>
      <c r="F318" t="inlineStr">
        <is>
          <t>가상생성</t>
        </is>
      </c>
    </row>
    <row r="319" ht="21" customHeight="1" s="26">
      <c r="A319" t="inlineStr">
        <is>
          <t>EXA-0080</t>
        </is>
      </c>
      <c r="B319" t="n">
        <v>2024</v>
      </c>
      <c r="C319" s="31" t="n">
        <v>138878</v>
      </c>
      <c r="D319" t="inlineStr">
        <is>
          <t>연간 확정(가상)</t>
        </is>
      </c>
      <c r="E319" t="inlineStr">
        <is>
          <t>KRW 환산, 만원</t>
        </is>
      </c>
      <c r="F319" t="inlineStr">
        <is>
          <t>가상생성</t>
        </is>
      </c>
    </row>
    <row r="320" ht="21" customHeight="1" s="26">
      <c r="A320" t="inlineStr">
        <is>
          <t>EXA-0080</t>
        </is>
      </c>
      <c r="B320" t="n">
        <v>2025</v>
      </c>
      <c r="C320" s="31" t="n">
        <v>131472</v>
      </c>
      <c r="D320" t="inlineStr">
        <is>
          <t>연간 확정(가상)</t>
        </is>
      </c>
      <c r="E320" t="inlineStr">
        <is>
          <t>KRW 환산, 만원</t>
        </is>
      </c>
      <c r="F320" t="inlineStr">
        <is>
          <t>가상생성</t>
        </is>
      </c>
    </row>
    <row r="321" ht="21" customHeight="1" s="26">
      <c r="A321" t="inlineStr">
        <is>
          <t>EXA-0080</t>
        </is>
      </c>
      <c r="B321" t="n">
        <v>2026</v>
      </c>
      <c r="C321" s="31" t="n">
        <v>71369</v>
      </c>
      <c r="D321" t="inlineStr">
        <is>
          <t>1~3분기 누계</t>
        </is>
      </c>
      <c r="E321" t="inlineStr">
        <is>
          <t>KRW 환산, 만원</t>
        </is>
      </c>
      <c r="F321" t="inlineStr">
        <is>
          <t>가상생성</t>
        </is>
      </c>
    </row>
    <row r="322" ht="21" customHeight="1" s="26">
      <c r="A322" t="inlineStr">
        <is>
          <t>EXA-0081</t>
        </is>
      </c>
      <c r="B322" t="n">
        <v>2023</v>
      </c>
      <c r="C322" s="31" t="n">
        <v>163562</v>
      </c>
      <c r="D322" t="inlineStr">
        <is>
          <t>연간 확정(가상)</t>
        </is>
      </c>
      <c r="E322" t="inlineStr">
        <is>
          <t>KRW 환산, 만원</t>
        </is>
      </c>
      <c r="F322" t="inlineStr">
        <is>
          <t>가상생성</t>
        </is>
      </c>
    </row>
    <row r="323" ht="21" customHeight="1" s="26">
      <c r="A323" t="inlineStr">
        <is>
          <t>EXA-0081</t>
        </is>
      </c>
      <c r="B323" t="n">
        <v>2024</v>
      </c>
      <c r="C323" s="31" t="n">
        <v>155591</v>
      </c>
      <c r="D323" t="inlineStr">
        <is>
          <t>연간 확정(가상)</t>
        </is>
      </c>
      <c r="E323" t="inlineStr">
        <is>
          <t>KRW 환산, 만원</t>
        </is>
      </c>
      <c r="F323" t="inlineStr">
        <is>
          <t>가상생성</t>
        </is>
      </c>
    </row>
    <row r="324" ht="21" customHeight="1" s="26">
      <c r="A324" t="inlineStr">
        <is>
          <t>EXA-0081</t>
        </is>
      </c>
      <c r="B324" t="n">
        <v>2025</v>
      </c>
      <c r="C324" s="31" t="n">
        <v>160567</v>
      </c>
      <c r="D324" t="inlineStr">
        <is>
          <t>연간 확정(가상)</t>
        </is>
      </c>
      <c r="E324" t="inlineStr">
        <is>
          <t>KRW 환산, 만원</t>
        </is>
      </c>
      <c r="F324" t="inlineStr">
        <is>
          <t>가상생성</t>
        </is>
      </c>
    </row>
    <row r="325" ht="21" customHeight="1" s="26">
      <c r="A325" t="inlineStr">
        <is>
          <t>EXA-0081</t>
        </is>
      </c>
      <c r="B325" t="n">
        <v>2026</v>
      </c>
      <c r="C325" s="31" t="n">
        <v>135306</v>
      </c>
      <c r="D325" t="inlineStr">
        <is>
          <t>1~3분기 누계</t>
        </is>
      </c>
      <c r="E325" t="inlineStr">
        <is>
          <t>KRW 환산, 만원</t>
        </is>
      </c>
      <c r="F325" t="inlineStr">
        <is>
          <t>가상생성</t>
        </is>
      </c>
    </row>
    <row r="326" ht="21" customHeight="1" s="26">
      <c r="A326" t="inlineStr">
        <is>
          <t>EXA-0082</t>
        </is>
      </c>
      <c r="B326" t="n">
        <v>2023</v>
      </c>
      <c r="C326" s="31" t="n">
        <v>44290</v>
      </c>
      <c r="D326" t="inlineStr">
        <is>
          <t>연간 확정(가상)</t>
        </is>
      </c>
      <c r="E326" t="inlineStr">
        <is>
          <t>KRW 환산, 만원</t>
        </is>
      </c>
      <c r="F326" t="inlineStr">
        <is>
          <t>가상생성</t>
        </is>
      </c>
    </row>
    <row r="327" ht="21" customHeight="1" s="26">
      <c r="A327" t="inlineStr">
        <is>
          <t>EXA-0082</t>
        </is>
      </c>
      <c r="B327" t="n">
        <v>2024</v>
      </c>
      <c r="C327" s="31" t="n">
        <v>52436</v>
      </c>
      <c r="D327" t="inlineStr">
        <is>
          <t>연간 확정(가상)</t>
        </is>
      </c>
      <c r="E327" t="inlineStr">
        <is>
          <t>KRW 환산, 만원</t>
        </is>
      </c>
      <c r="F327" t="inlineStr">
        <is>
          <t>가상생성</t>
        </is>
      </c>
    </row>
    <row r="328" ht="21" customHeight="1" s="26">
      <c r="A328" t="inlineStr">
        <is>
          <t>EXA-0082</t>
        </is>
      </c>
      <c r="B328" t="n">
        <v>2025</v>
      </c>
      <c r="C328" s="31" t="n">
        <v>71818</v>
      </c>
      <c r="D328" t="inlineStr">
        <is>
          <t>연간 확정(가상)</t>
        </is>
      </c>
      <c r="E328" t="inlineStr">
        <is>
          <t>KRW 환산, 만원</t>
        </is>
      </c>
      <c r="F328" t="inlineStr">
        <is>
          <t>가상생성</t>
        </is>
      </c>
    </row>
    <row r="329" ht="21" customHeight="1" s="26">
      <c r="A329" t="inlineStr">
        <is>
          <t>EXA-0082</t>
        </is>
      </c>
      <c r="B329" t="n">
        <v>2026</v>
      </c>
      <c r="C329" s="31" t="n">
        <v>28835</v>
      </c>
      <c r="D329" t="inlineStr">
        <is>
          <t>1~3분기 누계</t>
        </is>
      </c>
      <c r="E329" t="inlineStr">
        <is>
          <t>KRW 환산, 만원</t>
        </is>
      </c>
      <c r="F329" t="inlineStr">
        <is>
          <t>가상생성</t>
        </is>
      </c>
    </row>
    <row r="330" ht="21" customHeight="1" s="26">
      <c r="A330" t="inlineStr">
        <is>
          <t>EXA-0083</t>
        </is>
      </c>
      <c r="B330" t="n">
        <v>2023</v>
      </c>
      <c r="C330" s="31" t="n">
        <v>189780</v>
      </c>
      <c r="D330" t="inlineStr">
        <is>
          <t>연간 확정(가상)</t>
        </is>
      </c>
      <c r="E330" t="inlineStr">
        <is>
          <t>KRW 환산, 만원</t>
        </is>
      </c>
      <c r="F330" t="inlineStr">
        <is>
          <t>가상생성</t>
        </is>
      </c>
    </row>
    <row r="331" ht="21" customHeight="1" s="26">
      <c r="A331" t="inlineStr">
        <is>
          <t>EXA-0083</t>
        </is>
      </c>
      <c r="B331" t="n">
        <v>2024</v>
      </c>
      <c r="C331" s="31" t="n">
        <v>176986</v>
      </c>
      <c r="D331" t="inlineStr">
        <is>
          <t>연간 확정(가상)</t>
        </is>
      </c>
      <c r="E331" t="inlineStr">
        <is>
          <t>KRW 환산, 만원</t>
        </is>
      </c>
      <c r="F331" t="inlineStr">
        <is>
          <t>가상생성</t>
        </is>
      </c>
    </row>
    <row r="332" ht="21" customHeight="1" s="26">
      <c r="A332" t="inlineStr">
        <is>
          <t>EXA-0083</t>
        </is>
      </c>
      <c r="B332" t="n">
        <v>2025</v>
      </c>
      <c r="C332" s="31" t="n">
        <v>126396</v>
      </c>
      <c r="D332" t="inlineStr">
        <is>
          <t>연간 확정(가상)</t>
        </is>
      </c>
      <c r="E332" t="inlineStr">
        <is>
          <t>KRW 환산, 만원</t>
        </is>
      </c>
      <c r="F332" t="inlineStr">
        <is>
          <t>가상생성</t>
        </is>
      </c>
    </row>
    <row r="333" ht="21" customHeight="1" s="26">
      <c r="A333" t="inlineStr">
        <is>
          <t>EXA-0083</t>
        </is>
      </c>
      <c r="B333" t="n">
        <v>2026</v>
      </c>
      <c r="C333" s="31" t="n">
        <v>109561</v>
      </c>
      <c r="D333" t="inlineStr">
        <is>
          <t>1~3분기 누계</t>
        </is>
      </c>
      <c r="E333" t="inlineStr">
        <is>
          <t>KRW 환산, 만원</t>
        </is>
      </c>
      <c r="F333" t="inlineStr">
        <is>
          <t>가상생성</t>
        </is>
      </c>
    </row>
    <row r="334" ht="21" customHeight="1" s="26">
      <c r="A334" t="inlineStr">
        <is>
          <t>EXA-0084</t>
        </is>
      </c>
      <c r="B334" t="n">
        <v>2023</v>
      </c>
      <c r="C334" s="31" t="n">
        <v>187680</v>
      </c>
      <c r="D334" t="inlineStr">
        <is>
          <t>연간 확정(가상)</t>
        </is>
      </c>
      <c r="E334" t="inlineStr">
        <is>
          <t>KRW 환산, 만원</t>
        </is>
      </c>
      <c r="F334" t="inlineStr">
        <is>
          <t>가상생성</t>
        </is>
      </c>
    </row>
    <row r="335" ht="21" customHeight="1" s="26">
      <c r="A335" t="inlineStr">
        <is>
          <t>EXA-0084</t>
        </is>
      </c>
      <c r="B335" t="n">
        <v>2024</v>
      </c>
      <c r="C335" s="31" t="n">
        <v>185005</v>
      </c>
      <c r="D335" t="inlineStr">
        <is>
          <t>연간 확정(가상)</t>
        </is>
      </c>
      <c r="E335" t="inlineStr">
        <is>
          <t>KRW 환산, 만원</t>
        </is>
      </c>
      <c r="F335" t="inlineStr">
        <is>
          <t>가상생성</t>
        </is>
      </c>
    </row>
    <row r="336" ht="21" customHeight="1" s="26">
      <c r="A336" t="inlineStr">
        <is>
          <t>EXA-0084</t>
        </is>
      </c>
      <c r="B336" t="n">
        <v>2025</v>
      </c>
      <c r="C336" s="31" t="n">
        <v>112682</v>
      </c>
      <c r="D336" t="inlineStr">
        <is>
          <t>연간 확정(가상)</t>
        </is>
      </c>
      <c r="E336" t="inlineStr">
        <is>
          <t>KRW 환산, 만원</t>
        </is>
      </c>
      <c r="F336" t="inlineStr">
        <is>
          <t>가상생성</t>
        </is>
      </c>
    </row>
    <row r="337" ht="21" customHeight="1" s="26">
      <c r="A337" t="inlineStr">
        <is>
          <t>EXA-0084</t>
        </is>
      </c>
      <c r="B337" t="n">
        <v>2026</v>
      </c>
      <c r="C337" s="31" t="n">
        <v>95042</v>
      </c>
      <c r="D337" t="inlineStr">
        <is>
          <t>1~3분기 누계</t>
        </is>
      </c>
      <c r="E337" t="inlineStr">
        <is>
          <t>KRW 환산, 만원</t>
        </is>
      </c>
      <c r="F337" t="inlineStr">
        <is>
          <t>가상생성</t>
        </is>
      </c>
    </row>
    <row r="338" ht="21" customHeight="1" s="26">
      <c r="A338" t="inlineStr">
        <is>
          <t>EXA-0085</t>
        </is>
      </c>
      <c r="B338" t="n">
        <v>2023</v>
      </c>
      <c r="C338" s="31" t="n">
        <v>56264</v>
      </c>
      <c r="D338" t="inlineStr">
        <is>
          <t>연간 확정(가상)</t>
        </is>
      </c>
      <c r="E338" t="inlineStr">
        <is>
          <t>KRW 환산, 만원</t>
        </is>
      </c>
      <c r="F338" t="inlineStr">
        <is>
          <t>가상생성</t>
        </is>
      </c>
    </row>
    <row r="339" ht="21" customHeight="1" s="26">
      <c r="A339" t="inlineStr">
        <is>
          <t>EXA-0085</t>
        </is>
      </c>
      <c r="B339" t="n">
        <v>2024</v>
      </c>
      <c r="C339" s="31" t="n">
        <v>46686</v>
      </c>
      <c r="D339" t="inlineStr">
        <is>
          <t>연간 확정(가상)</t>
        </is>
      </c>
      <c r="E339" t="inlineStr">
        <is>
          <t>KRW 환산, 만원</t>
        </is>
      </c>
      <c r="F339" t="inlineStr">
        <is>
          <t>가상생성</t>
        </is>
      </c>
    </row>
    <row r="340" ht="21" customHeight="1" s="26">
      <c r="A340" t="inlineStr">
        <is>
          <t>EXA-0085</t>
        </is>
      </c>
      <c r="B340" t="n">
        <v>2025</v>
      </c>
      <c r="C340" s="31" t="n">
        <v>56026</v>
      </c>
      <c r="D340" t="inlineStr">
        <is>
          <t>연간 확정(가상)</t>
        </is>
      </c>
      <c r="E340" t="inlineStr">
        <is>
          <t>KRW 환산, 만원</t>
        </is>
      </c>
      <c r="F340" t="inlineStr">
        <is>
          <t>가상생성</t>
        </is>
      </c>
    </row>
    <row r="341" ht="21" customHeight="1" s="26">
      <c r="A341" t="inlineStr">
        <is>
          <t>EXA-0085</t>
        </is>
      </c>
      <c r="B341" t="n">
        <v>2026</v>
      </c>
      <c r="C341" s="31" t="n">
        <v>23542</v>
      </c>
      <c r="D341" t="inlineStr">
        <is>
          <t>1~3분기 누계</t>
        </is>
      </c>
      <c r="E341" t="inlineStr">
        <is>
          <t>KRW 환산, 만원</t>
        </is>
      </c>
      <c r="F341" t="inlineStr">
        <is>
          <t>가상생성</t>
        </is>
      </c>
    </row>
    <row r="342" ht="21" customHeight="1" s="26">
      <c r="A342" t="inlineStr">
        <is>
          <t>EXA-0086</t>
        </is>
      </c>
      <c r="B342" t="n">
        <v>2023</v>
      </c>
      <c r="C342" s="31" t="n">
        <v>289515</v>
      </c>
      <c r="D342" t="inlineStr">
        <is>
          <t>연간 확정(가상)</t>
        </is>
      </c>
      <c r="E342" t="inlineStr">
        <is>
          <t>KRW 환산, 만원</t>
        </is>
      </c>
      <c r="F342" t="inlineStr">
        <is>
          <t>가상생성</t>
        </is>
      </c>
    </row>
    <row r="343" ht="21" customHeight="1" s="26">
      <c r="A343" t="inlineStr">
        <is>
          <t>EXA-0086</t>
        </is>
      </c>
      <c r="B343" t="n">
        <v>2024</v>
      </c>
      <c r="C343" s="31" t="n">
        <v>359099</v>
      </c>
      <c r="D343" t="inlineStr">
        <is>
          <t>연간 확정(가상)</t>
        </is>
      </c>
      <c r="E343" t="inlineStr">
        <is>
          <t>KRW 환산, 만원</t>
        </is>
      </c>
      <c r="F343" t="inlineStr">
        <is>
          <t>가상생성</t>
        </is>
      </c>
    </row>
    <row r="344" ht="21" customHeight="1" s="26">
      <c r="A344" t="inlineStr">
        <is>
          <t>EXA-0086</t>
        </is>
      </c>
      <c r="B344" t="n">
        <v>2025</v>
      </c>
      <c r="C344" s="31" t="n">
        <v>449615</v>
      </c>
      <c r="D344" t="inlineStr">
        <is>
          <t>연간 확정(가상)</t>
        </is>
      </c>
      <c r="E344" t="inlineStr">
        <is>
          <t>KRW 환산, 만원</t>
        </is>
      </c>
      <c r="F344" t="inlineStr">
        <is>
          <t>가상생성</t>
        </is>
      </c>
    </row>
    <row r="345" ht="21" customHeight="1" s="26">
      <c r="A345" t="inlineStr">
        <is>
          <t>EXA-0086</t>
        </is>
      </c>
      <c r="B345" t="n">
        <v>2026</v>
      </c>
      <c r="C345" s="31" t="n">
        <v>309097</v>
      </c>
      <c r="D345" t="inlineStr">
        <is>
          <t>1~3분기 누계</t>
        </is>
      </c>
      <c r="E345" t="inlineStr">
        <is>
          <t>KRW 환산, 만원</t>
        </is>
      </c>
      <c r="F345" t="inlineStr">
        <is>
          <t>가상생성</t>
        </is>
      </c>
    </row>
    <row r="346" ht="21" customHeight="1" s="26">
      <c r="A346" t="inlineStr">
        <is>
          <t>EXA-0087</t>
        </is>
      </c>
      <c r="B346" t="n">
        <v>2023</v>
      </c>
      <c r="C346" s="31" t="n">
        <v>36020</v>
      </c>
      <c r="D346" t="inlineStr">
        <is>
          <t>연간 확정(가상)</t>
        </is>
      </c>
      <c r="E346" t="inlineStr">
        <is>
          <t>KRW 환산, 만원</t>
        </is>
      </c>
      <c r="F346" t="inlineStr">
        <is>
          <t>가상생성</t>
        </is>
      </c>
    </row>
    <row r="347" ht="21" customHeight="1" s="26">
      <c r="A347" t="inlineStr">
        <is>
          <t>EXA-0087</t>
        </is>
      </c>
      <c r="B347" t="n">
        <v>2024</v>
      </c>
      <c r="C347" s="31" t="n">
        <v>29914</v>
      </c>
      <c r="D347" t="inlineStr">
        <is>
          <t>연간 확정(가상)</t>
        </is>
      </c>
      <c r="E347" t="inlineStr">
        <is>
          <t>KRW 환산, 만원</t>
        </is>
      </c>
      <c r="F347" t="inlineStr">
        <is>
          <t>가상생성</t>
        </is>
      </c>
    </row>
    <row r="348" ht="21" customHeight="1" s="26">
      <c r="A348" t="inlineStr">
        <is>
          <t>EXA-0087</t>
        </is>
      </c>
      <c r="B348" t="n">
        <v>2025</v>
      </c>
      <c r="C348" s="31" t="n">
        <v>44257</v>
      </c>
      <c r="D348" t="inlineStr">
        <is>
          <t>연간 확정(가상)</t>
        </is>
      </c>
      <c r="E348" t="inlineStr">
        <is>
          <t>KRW 환산, 만원</t>
        </is>
      </c>
      <c r="F348" t="inlineStr">
        <is>
          <t>가상생성</t>
        </is>
      </c>
    </row>
    <row r="349" ht="21" customHeight="1" s="26">
      <c r="A349" t="inlineStr">
        <is>
          <t>EXA-0087</t>
        </is>
      </c>
      <c r="B349" t="n">
        <v>2026</v>
      </c>
      <c r="C349" s="31" t="n">
        <v>33026</v>
      </c>
      <c r="D349" t="inlineStr">
        <is>
          <t>1~3분기 누계</t>
        </is>
      </c>
      <c r="E349" t="inlineStr">
        <is>
          <t>KRW 환산, 만원</t>
        </is>
      </c>
      <c r="F349" t="inlineStr">
        <is>
          <t>가상생성</t>
        </is>
      </c>
    </row>
    <row r="350" ht="21" customHeight="1" s="26">
      <c r="A350" t="inlineStr">
        <is>
          <t>EXA-0088</t>
        </is>
      </c>
      <c r="B350" t="n">
        <v>2023</v>
      </c>
      <c r="C350" s="31" t="n">
        <v>61360</v>
      </c>
      <c r="D350" t="inlineStr">
        <is>
          <t>연간 확정(가상)</t>
        </is>
      </c>
      <c r="E350" t="inlineStr">
        <is>
          <t>KRW 환산, 만원</t>
        </is>
      </c>
      <c r="F350" t="inlineStr">
        <is>
          <t>가상생성</t>
        </is>
      </c>
    </row>
    <row r="351" ht="21" customHeight="1" s="26">
      <c r="A351" t="inlineStr">
        <is>
          <t>EXA-0088</t>
        </is>
      </c>
      <c r="B351" t="n">
        <v>2024</v>
      </c>
      <c r="C351" s="31" t="n">
        <v>73368</v>
      </c>
      <c r="D351" t="inlineStr">
        <is>
          <t>연간 확정(가상)</t>
        </is>
      </c>
      <c r="E351" t="inlineStr">
        <is>
          <t>KRW 환산, 만원</t>
        </is>
      </c>
      <c r="F351" t="inlineStr">
        <is>
          <t>가상생성</t>
        </is>
      </c>
    </row>
    <row r="352" ht="21" customHeight="1" s="26">
      <c r="A352" t="inlineStr">
        <is>
          <t>EXA-0088</t>
        </is>
      </c>
      <c r="B352" t="n">
        <v>2025</v>
      </c>
      <c r="C352" s="31" t="n">
        <v>85113</v>
      </c>
      <c r="D352" t="inlineStr">
        <is>
          <t>연간 확정(가상)</t>
        </is>
      </c>
      <c r="E352" t="inlineStr">
        <is>
          <t>KRW 환산, 만원</t>
        </is>
      </c>
      <c r="F352" t="inlineStr">
        <is>
          <t>가상생성</t>
        </is>
      </c>
    </row>
    <row r="353" ht="21" customHeight="1" s="26">
      <c r="A353" t="inlineStr">
        <is>
          <t>EXA-0088</t>
        </is>
      </c>
      <c r="B353" t="n">
        <v>2026</v>
      </c>
      <c r="C353" s="31" t="n">
        <v>49620</v>
      </c>
      <c r="D353" t="inlineStr">
        <is>
          <t>1~3분기 누계</t>
        </is>
      </c>
      <c r="E353" t="inlineStr">
        <is>
          <t>KRW 환산, 만원</t>
        </is>
      </c>
      <c r="F353" t="inlineStr">
        <is>
          <t>가상생성</t>
        </is>
      </c>
    </row>
    <row r="354" ht="21" customHeight="1" s="26">
      <c r="A354" t="inlineStr">
        <is>
          <t>EXA-0089</t>
        </is>
      </c>
      <c r="B354" t="n">
        <v>2023</v>
      </c>
      <c r="C354" s="31" t="n">
        <v>192637</v>
      </c>
      <c r="D354" t="inlineStr">
        <is>
          <t>연간 확정(가상)</t>
        </is>
      </c>
      <c r="E354" t="inlineStr">
        <is>
          <t>KRW 환산, 만원</t>
        </is>
      </c>
      <c r="F354" t="inlineStr">
        <is>
          <t>가상생성</t>
        </is>
      </c>
    </row>
    <row r="355" ht="21" customHeight="1" s="26">
      <c r="A355" t="inlineStr">
        <is>
          <t>EXA-0089</t>
        </is>
      </c>
      <c r="B355" t="n">
        <v>2024</v>
      </c>
      <c r="C355" s="31" t="n">
        <v>174606</v>
      </c>
      <c r="D355" t="inlineStr">
        <is>
          <t>연간 확정(가상)</t>
        </is>
      </c>
      <c r="E355" t="inlineStr">
        <is>
          <t>KRW 환산, 만원</t>
        </is>
      </c>
      <c r="F355" t="inlineStr">
        <is>
          <t>가상생성</t>
        </is>
      </c>
    </row>
    <row r="356" ht="21" customHeight="1" s="26">
      <c r="A356" t="inlineStr">
        <is>
          <t>EXA-0089</t>
        </is>
      </c>
      <c r="B356" t="n">
        <v>2025</v>
      </c>
      <c r="C356" s="31" t="n">
        <v>244306</v>
      </c>
      <c r="D356" t="inlineStr">
        <is>
          <t>연간 확정(가상)</t>
        </is>
      </c>
      <c r="E356" t="inlineStr">
        <is>
          <t>KRW 환산, 만원</t>
        </is>
      </c>
      <c r="F356" t="inlineStr">
        <is>
          <t>가상생성</t>
        </is>
      </c>
    </row>
    <row r="357" ht="21" customHeight="1" s="26">
      <c r="A357" t="inlineStr">
        <is>
          <t>EXA-0089</t>
        </is>
      </c>
      <c r="B357" t="n">
        <v>2026</v>
      </c>
      <c r="C357" s="31" t="n">
        <v>202719</v>
      </c>
      <c r="D357" t="inlineStr">
        <is>
          <t>1~3분기 누계</t>
        </is>
      </c>
      <c r="E357" t="inlineStr">
        <is>
          <t>KRW 환산, 만원</t>
        </is>
      </c>
      <c r="F357" t="inlineStr">
        <is>
          <t>가상생성</t>
        </is>
      </c>
    </row>
    <row r="358" ht="21" customHeight="1" s="26">
      <c r="A358" t="inlineStr">
        <is>
          <t>EXA-0090</t>
        </is>
      </c>
      <c r="B358" t="n">
        <v>2023</v>
      </c>
      <c r="C358" s="31" t="n">
        <v>29890</v>
      </c>
      <c r="D358" t="inlineStr">
        <is>
          <t>연간 확정(가상)</t>
        </is>
      </c>
      <c r="E358" t="inlineStr">
        <is>
          <t>KRW 환산, 만원</t>
        </is>
      </c>
      <c r="F358" t="inlineStr">
        <is>
          <t>가상생성</t>
        </is>
      </c>
    </row>
    <row r="359" ht="21" customHeight="1" s="26">
      <c r="A359" t="inlineStr">
        <is>
          <t>EXA-0090</t>
        </is>
      </c>
      <c r="B359" t="n">
        <v>2024</v>
      </c>
      <c r="C359" s="31" t="n">
        <v>26891</v>
      </c>
      <c r="D359" t="inlineStr">
        <is>
          <t>연간 확정(가상)</t>
        </is>
      </c>
      <c r="E359" t="inlineStr">
        <is>
          <t>KRW 환산, 만원</t>
        </is>
      </c>
      <c r="F359" t="inlineStr">
        <is>
          <t>가상생성</t>
        </is>
      </c>
    </row>
    <row r="360" ht="21" customHeight="1" s="26">
      <c r="A360" t="inlineStr">
        <is>
          <t>EXA-0090</t>
        </is>
      </c>
      <c r="B360" t="n">
        <v>2025</v>
      </c>
      <c r="C360" s="31" t="n">
        <v>43235</v>
      </c>
      <c r="D360" t="inlineStr">
        <is>
          <t>연간 확정(가상)</t>
        </is>
      </c>
      <c r="E360" t="inlineStr">
        <is>
          <t>KRW 환산, 만원</t>
        </is>
      </c>
      <c r="F360" t="inlineStr">
        <is>
          <t>가상생성</t>
        </is>
      </c>
    </row>
    <row r="361" ht="21" customHeight="1" s="26">
      <c r="A361" t="inlineStr">
        <is>
          <t>EXA-0090</t>
        </is>
      </c>
      <c r="B361" t="n">
        <v>2026</v>
      </c>
      <c r="C361" s="31" t="n">
        <v>36310</v>
      </c>
      <c r="D361" t="inlineStr">
        <is>
          <t>1~3분기 누계</t>
        </is>
      </c>
      <c r="E361" t="inlineStr">
        <is>
          <t>KRW 환산, 만원</t>
        </is>
      </c>
      <c r="F361" t="inlineStr">
        <is>
          <t>가상생성</t>
        </is>
      </c>
    </row>
    <row r="362" ht="21" customHeight="1" s="26">
      <c r="A362" t="inlineStr">
        <is>
          <t>EXA-0091</t>
        </is>
      </c>
      <c r="B362" t="n">
        <v>2023</v>
      </c>
      <c r="C362" s="31" t="n">
        <v>91173</v>
      </c>
      <c r="D362" t="inlineStr">
        <is>
          <t>연간 확정(가상)</t>
        </is>
      </c>
      <c r="E362" t="inlineStr">
        <is>
          <t>KRW 환산, 만원</t>
        </is>
      </c>
      <c r="F362" t="inlineStr">
        <is>
          <t>가상생성</t>
        </is>
      </c>
    </row>
    <row r="363" ht="21" customHeight="1" s="26">
      <c r="A363" t="inlineStr">
        <is>
          <t>EXA-0091</t>
        </is>
      </c>
      <c r="B363" t="n">
        <v>2024</v>
      </c>
      <c r="C363" s="31" t="n">
        <v>68544</v>
      </c>
      <c r="D363" t="inlineStr">
        <is>
          <t>연간 확정(가상)</t>
        </is>
      </c>
      <c r="E363" t="inlineStr">
        <is>
          <t>KRW 환산, 만원</t>
        </is>
      </c>
      <c r="F363" t="inlineStr">
        <is>
          <t>가상생성</t>
        </is>
      </c>
    </row>
    <row r="364" ht="21" customHeight="1" s="26">
      <c r="A364" t="inlineStr">
        <is>
          <t>EXA-0091</t>
        </is>
      </c>
      <c r="B364" t="n">
        <v>2025</v>
      </c>
      <c r="C364" s="31" t="n">
        <v>107356</v>
      </c>
      <c r="D364" t="inlineStr">
        <is>
          <t>연간 확정(가상)</t>
        </is>
      </c>
      <c r="E364" t="inlineStr">
        <is>
          <t>KRW 환산, 만원</t>
        </is>
      </c>
      <c r="F364" t="inlineStr">
        <is>
          <t>가상생성</t>
        </is>
      </c>
    </row>
    <row r="365" ht="21" customHeight="1" s="26">
      <c r="A365" t="inlineStr">
        <is>
          <t>EXA-0091</t>
        </is>
      </c>
      <c r="B365" t="n">
        <v>2026</v>
      </c>
      <c r="C365" s="31" t="n">
        <v>87192</v>
      </c>
      <c r="D365" t="inlineStr">
        <is>
          <t>1~3분기 누계</t>
        </is>
      </c>
      <c r="E365" t="inlineStr">
        <is>
          <t>KRW 환산, 만원</t>
        </is>
      </c>
      <c r="F365" t="inlineStr">
        <is>
          <t>가상생성</t>
        </is>
      </c>
    </row>
    <row r="366" ht="21" customHeight="1" s="26">
      <c r="A366" t="inlineStr">
        <is>
          <t>EXA-0092</t>
        </is>
      </c>
      <c r="B366" t="n">
        <v>2023</v>
      </c>
      <c r="C366" s="31" t="n">
        <v>177441</v>
      </c>
      <c r="D366" t="inlineStr">
        <is>
          <t>연간 확정(가상)</t>
        </is>
      </c>
      <c r="E366" t="inlineStr">
        <is>
          <t>KRW 환산, 만원</t>
        </is>
      </c>
      <c r="F366" t="inlineStr">
        <is>
          <t>가상생성</t>
        </is>
      </c>
    </row>
    <row r="367" ht="21" customHeight="1" s="26">
      <c r="A367" t="inlineStr">
        <is>
          <t>EXA-0092</t>
        </is>
      </c>
      <c r="B367" t="n">
        <v>2024</v>
      </c>
      <c r="C367" s="31" t="n">
        <v>246731</v>
      </c>
      <c r="D367" t="inlineStr">
        <is>
          <t>연간 확정(가상)</t>
        </is>
      </c>
      <c r="E367" t="inlineStr">
        <is>
          <t>KRW 환산, 만원</t>
        </is>
      </c>
      <c r="F367" t="inlineStr">
        <is>
          <t>가상생성</t>
        </is>
      </c>
    </row>
    <row r="368" ht="21" customHeight="1" s="26">
      <c r="A368" t="inlineStr">
        <is>
          <t>EXA-0092</t>
        </is>
      </c>
      <c r="B368" t="n">
        <v>2025</v>
      </c>
      <c r="C368" s="31" t="n">
        <v>199244</v>
      </c>
      <c r="D368" t="inlineStr">
        <is>
          <t>연간 확정(가상)</t>
        </is>
      </c>
      <c r="E368" t="inlineStr">
        <is>
          <t>KRW 환산, 만원</t>
        </is>
      </c>
      <c r="F368" t="inlineStr">
        <is>
          <t>가상생성</t>
        </is>
      </c>
    </row>
    <row r="369" ht="21" customHeight="1" s="26">
      <c r="A369" t="inlineStr">
        <is>
          <t>EXA-0092</t>
        </is>
      </c>
      <c r="B369" t="n">
        <v>2026</v>
      </c>
      <c r="C369" s="31" t="n">
        <v>89348</v>
      </c>
      <c r="D369" t="inlineStr">
        <is>
          <t>1~3분기 누계</t>
        </is>
      </c>
      <c r="E369" t="inlineStr">
        <is>
          <t>KRW 환산, 만원</t>
        </is>
      </c>
      <c r="F369" t="inlineStr">
        <is>
          <t>가상생성</t>
        </is>
      </c>
    </row>
    <row r="370" ht="21" customHeight="1" s="26">
      <c r="A370" t="inlineStr">
        <is>
          <t>EXA-0093</t>
        </is>
      </c>
      <c r="B370" t="n">
        <v>2023</v>
      </c>
      <c r="C370" s="31" t="n">
        <v>211188</v>
      </c>
      <c r="D370" t="inlineStr">
        <is>
          <t>연간 확정(가상)</t>
        </is>
      </c>
      <c r="E370" t="inlineStr">
        <is>
          <t>KRW 환산, 만원</t>
        </is>
      </c>
      <c r="F370" t="inlineStr">
        <is>
          <t>가상생성</t>
        </is>
      </c>
    </row>
    <row r="371" ht="21" customHeight="1" s="26">
      <c r="A371" t="inlineStr">
        <is>
          <t>EXA-0093</t>
        </is>
      </c>
      <c r="B371" t="n">
        <v>2024</v>
      </c>
      <c r="C371" s="31" t="n">
        <v>274095</v>
      </c>
      <c r="D371" t="inlineStr">
        <is>
          <t>연간 확정(가상)</t>
        </is>
      </c>
      <c r="E371" t="inlineStr">
        <is>
          <t>KRW 환산, 만원</t>
        </is>
      </c>
      <c r="F371" t="inlineStr">
        <is>
          <t>가상생성</t>
        </is>
      </c>
    </row>
    <row r="372" ht="21" customHeight="1" s="26">
      <c r="A372" t="inlineStr">
        <is>
          <t>EXA-0093</t>
        </is>
      </c>
      <c r="B372" t="n">
        <v>2025</v>
      </c>
      <c r="C372" s="31" t="n">
        <v>320648</v>
      </c>
      <c r="D372" t="inlineStr">
        <is>
          <t>연간 확정(가상)</t>
        </is>
      </c>
      <c r="E372" t="inlineStr">
        <is>
          <t>KRW 환산, 만원</t>
        </is>
      </c>
      <c r="F372" t="inlineStr">
        <is>
          <t>가상생성</t>
        </is>
      </c>
    </row>
    <row r="373" ht="21" customHeight="1" s="26">
      <c r="A373" t="inlineStr">
        <is>
          <t>EXA-0093</t>
        </is>
      </c>
      <c r="B373" t="n">
        <v>2026</v>
      </c>
      <c r="C373" s="31" t="n">
        <v>159811</v>
      </c>
      <c r="D373" t="inlineStr">
        <is>
          <t>1~3분기 누계</t>
        </is>
      </c>
      <c r="E373" t="inlineStr">
        <is>
          <t>KRW 환산, 만원</t>
        </is>
      </c>
      <c r="F373" t="inlineStr">
        <is>
          <t>가상생성</t>
        </is>
      </c>
    </row>
    <row r="374" ht="21" customHeight="1" s="26">
      <c r="A374" t="inlineStr">
        <is>
          <t>EXA-0094</t>
        </is>
      </c>
      <c r="B374" t="n">
        <v>2023</v>
      </c>
      <c r="C374" s="31" t="n">
        <v>248551</v>
      </c>
      <c r="D374" t="inlineStr">
        <is>
          <t>연간 확정(가상)</t>
        </is>
      </c>
      <c r="E374" t="inlineStr">
        <is>
          <t>KRW 환산, 만원</t>
        </is>
      </c>
      <c r="F374" t="inlineStr">
        <is>
          <t>가상생성</t>
        </is>
      </c>
    </row>
    <row r="375" ht="21" customHeight="1" s="26">
      <c r="A375" t="inlineStr">
        <is>
          <t>EXA-0094</t>
        </is>
      </c>
      <c r="B375" t="n">
        <v>2024</v>
      </c>
      <c r="C375" s="31" t="n">
        <v>351607</v>
      </c>
      <c r="D375" t="inlineStr">
        <is>
          <t>연간 확정(가상)</t>
        </is>
      </c>
      <c r="E375" t="inlineStr">
        <is>
          <t>KRW 환산, 만원</t>
        </is>
      </c>
      <c r="F375" t="inlineStr">
        <is>
          <t>가상생성</t>
        </is>
      </c>
    </row>
    <row r="376" ht="21" customHeight="1" s="26">
      <c r="A376" t="inlineStr">
        <is>
          <t>EXA-0094</t>
        </is>
      </c>
      <c r="B376" t="n">
        <v>2025</v>
      </c>
      <c r="C376" s="31" t="n">
        <v>298049</v>
      </c>
      <c r="D376" t="inlineStr">
        <is>
          <t>연간 확정(가상)</t>
        </is>
      </c>
      <c r="E376" t="inlineStr">
        <is>
          <t>KRW 환산, 만원</t>
        </is>
      </c>
      <c r="F376" t="inlineStr">
        <is>
          <t>가상생성</t>
        </is>
      </c>
    </row>
    <row r="377" ht="21" customHeight="1" s="26">
      <c r="A377" t="inlineStr">
        <is>
          <t>EXA-0094</t>
        </is>
      </c>
      <c r="B377" t="n">
        <v>2026</v>
      </c>
      <c r="C377" s="31" t="n">
        <v>111191</v>
      </c>
      <c r="D377" t="inlineStr">
        <is>
          <t>1~3분기 누계</t>
        </is>
      </c>
      <c r="E377" t="inlineStr">
        <is>
          <t>KRW 환산, 만원</t>
        </is>
      </c>
      <c r="F377" t="inlineStr">
        <is>
          <t>가상생성</t>
        </is>
      </c>
    </row>
    <row r="378" ht="21" customHeight="1" s="26">
      <c r="A378" t="inlineStr">
        <is>
          <t>EXA-0095</t>
        </is>
      </c>
      <c r="B378" t="n">
        <v>2023</v>
      </c>
      <c r="C378" s="31" t="n">
        <v>5999</v>
      </c>
      <c r="D378" t="inlineStr">
        <is>
          <t>연간 확정(가상)</t>
        </is>
      </c>
      <c r="E378" t="inlineStr">
        <is>
          <t>KRW 환산, 만원</t>
        </is>
      </c>
      <c r="F378" t="inlineStr">
        <is>
          <t>가상생성</t>
        </is>
      </c>
    </row>
    <row r="379" ht="21" customHeight="1" s="26">
      <c r="A379" t="inlineStr">
        <is>
          <t>EXA-0095</t>
        </is>
      </c>
      <c r="B379" t="n">
        <v>2024</v>
      </c>
      <c r="C379" s="31" t="n">
        <v>6255</v>
      </c>
      <c r="D379" t="inlineStr">
        <is>
          <t>연간 확정(가상)</t>
        </is>
      </c>
      <c r="E379" t="inlineStr">
        <is>
          <t>KRW 환산, 만원</t>
        </is>
      </c>
      <c r="F379" t="inlineStr">
        <is>
          <t>가상생성</t>
        </is>
      </c>
    </row>
    <row r="380" ht="21" customHeight="1" s="26">
      <c r="A380" t="inlineStr">
        <is>
          <t>EXA-0095</t>
        </is>
      </c>
      <c r="B380" t="n">
        <v>2025</v>
      </c>
      <c r="C380" s="31" t="n">
        <v>4776</v>
      </c>
      <c r="D380" t="inlineStr">
        <is>
          <t>연간 확정(가상)</t>
        </is>
      </c>
      <c r="E380" t="inlineStr">
        <is>
          <t>KRW 환산, 만원</t>
        </is>
      </c>
      <c r="F380" t="inlineStr">
        <is>
          <t>가상생성</t>
        </is>
      </c>
    </row>
    <row r="381" ht="21" customHeight="1" s="26">
      <c r="A381" t="inlineStr">
        <is>
          <t>EXA-0095</t>
        </is>
      </c>
      <c r="B381" t="n">
        <v>2026</v>
      </c>
      <c r="C381" s="31" t="n">
        <v>2246</v>
      </c>
      <c r="D381" t="inlineStr">
        <is>
          <t>1~3분기 누계</t>
        </is>
      </c>
      <c r="E381" t="inlineStr">
        <is>
          <t>KRW 환산, 만원</t>
        </is>
      </c>
      <c r="F381" t="inlineStr">
        <is>
          <t>가상생성</t>
        </is>
      </c>
    </row>
    <row r="382" ht="21" customHeight="1" s="26">
      <c r="A382" t="inlineStr">
        <is>
          <t>EXA-0096</t>
        </is>
      </c>
      <c r="B382" t="n">
        <v>2023</v>
      </c>
      <c r="C382" s="31" t="n">
        <v>176987</v>
      </c>
      <c r="D382" t="inlineStr">
        <is>
          <t>연간 확정(가상)</t>
        </is>
      </c>
      <c r="E382" t="inlineStr">
        <is>
          <t>KRW 환산, 만원</t>
        </is>
      </c>
      <c r="F382" t="inlineStr">
        <is>
          <t>가상생성</t>
        </is>
      </c>
    </row>
    <row r="383" ht="21" customHeight="1" s="26">
      <c r="A383" t="inlineStr">
        <is>
          <t>EXA-0096</t>
        </is>
      </c>
      <c r="B383" t="n">
        <v>2024</v>
      </c>
      <c r="C383" s="31" t="n">
        <v>161326</v>
      </c>
      <c r="D383" t="inlineStr">
        <is>
          <t>연간 확정(가상)</t>
        </is>
      </c>
      <c r="E383" t="inlineStr">
        <is>
          <t>KRW 환산, 만원</t>
        </is>
      </c>
      <c r="F383" t="inlineStr">
        <is>
          <t>가상생성</t>
        </is>
      </c>
    </row>
    <row r="384" ht="21" customHeight="1" s="26">
      <c r="A384" t="inlineStr">
        <is>
          <t>EXA-0096</t>
        </is>
      </c>
      <c r="B384" t="n">
        <v>2025</v>
      </c>
      <c r="C384" s="31" t="n">
        <v>252579</v>
      </c>
      <c r="D384" t="inlineStr">
        <is>
          <t>연간 확정(가상)</t>
        </is>
      </c>
      <c r="E384" t="inlineStr">
        <is>
          <t>KRW 환산, 만원</t>
        </is>
      </c>
      <c r="F384" t="inlineStr">
        <is>
          <t>가상생성</t>
        </is>
      </c>
    </row>
    <row r="385" ht="21" customHeight="1" s="26">
      <c r="A385" t="inlineStr">
        <is>
          <t>EXA-0096</t>
        </is>
      </c>
      <c r="B385" t="n">
        <v>2026</v>
      </c>
      <c r="C385" s="31" t="n">
        <v>114105</v>
      </c>
      <c r="D385" t="inlineStr">
        <is>
          <t>1~3분기 누계</t>
        </is>
      </c>
      <c r="E385" t="inlineStr">
        <is>
          <t>KRW 환산, 만원</t>
        </is>
      </c>
      <c r="F385" t="inlineStr">
        <is>
          <t>가상생성</t>
        </is>
      </c>
    </row>
    <row r="386" ht="21" customHeight="1" s="26">
      <c r="A386" t="inlineStr">
        <is>
          <t>EXA-0097</t>
        </is>
      </c>
      <c r="B386" t="n">
        <v>2023</v>
      </c>
      <c r="C386" s="31" t="n">
        <v>171777</v>
      </c>
      <c r="D386" t="inlineStr">
        <is>
          <t>연간 확정(가상)</t>
        </is>
      </c>
      <c r="E386" t="inlineStr">
        <is>
          <t>KRW 환산, 만원</t>
        </is>
      </c>
      <c r="F386" t="inlineStr">
        <is>
          <t>가상생성</t>
        </is>
      </c>
    </row>
    <row r="387" ht="21" customHeight="1" s="26">
      <c r="A387" t="inlineStr">
        <is>
          <t>EXA-0097</t>
        </is>
      </c>
      <c r="B387" t="n">
        <v>2024</v>
      </c>
      <c r="C387" s="31" t="n">
        <v>208488</v>
      </c>
      <c r="D387" t="inlineStr">
        <is>
          <t>연간 확정(가상)</t>
        </is>
      </c>
      <c r="E387" t="inlineStr">
        <is>
          <t>KRW 환산, 만원</t>
        </is>
      </c>
      <c r="F387" t="inlineStr">
        <is>
          <t>가상생성</t>
        </is>
      </c>
    </row>
    <row r="388" ht="21" customHeight="1" s="26">
      <c r="A388" t="inlineStr">
        <is>
          <t>EXA-0097</t>
        </is>
      </c>
      <c r="B388" t="n">
        <v>2025</v>
      </c>
      <c r="C388" s="31" t="n">
        <v>206137</v>
      </c>
      <c r="D388" t="inlineStr">
        <is>
          <t>연간 확정(가상)</t>
        </is>
      </c>
      <c r="E388" t="inlineStr">
        <is>
          <t>KRW 환산, 만원</t>
        </is>
      </c>
      <c r="F388" t="inlineStr">
        <is>
          <t>가상생성</t>
        </is>
      </c>
    </row>
    <row r="389" ht="21" customHeight="1" s="26">
      <c r="A389" t="inlineStr">
        <is>
          <t>EXA-0097</t>
        </is>
      </c>
      <c r="B389" t="n">
        <v>2026</v>
      </c>
      <c r="C389" s="31" t="n">
        <v>103856</v>
      </c>
      <c r="D389" t="inlineStr">
        <is>
          <t>1~3분기 누계</t>
        </is>
      </c>
      <c r="E389" t="inlineStr">
        <is>
          <t>KRW 환산, 만원</t>
        </is>
      </c>
      <c r="F389" t="inlineStr">
        <is>
          <t>가상생성</t>
        </is>
      </c>
    </row>
    <row r="390" ht="21" customHeight="1" s="26">
      <c r="A390" t="inlineStr">
        <is>
          <t>EXA-0098</t>
        </is>
      </c>
      <c r="B390" t="n">
        <v>2023</v>
      </c>
      <c r="C390" s="31" t="n">
        <v>249258</v>
      </c>
      <c r="D390" t="inlineStr">
        <is>
          <t>연간 확정(가상)</t>
        </is>
      </c>
      <c r="E390" t="inlineStr">
        <is>
          <t>KRW 환산, 만원</t>
        </is>
      </c>
      <c r="F390" t="inlineStr">
        <is>
          <t>가상생성</t>
        </is>
      </c>
    </row>
    <row r="391" ht="21" customHeight="1" s="26">
      <c r="A391" t="inlineStr">
        <is>
          <t>EXA-0098</t>
        </is>
      </c>
      <c r="B391" t="n">
        <v>2024</v>
      </c>
      <c r="C391" s="31" t="n">
        <v>206267</v>
      </c>
      <c r="D391" t="inlineStr">
        <is>
          <t>연간 확정(가상)</t>
        </is>
      </c>
      <c r="E391" t="inlineStr">
        <is>
          <t>KRW 환산, 만원</t>
        </is>
      </c>
      <c r="F391" t="inlineStr">
        <is>
          <t>가상생성</t>
        </is>
      </c>
    </row>
    <row r="392" ht="21" customHeight="1" s="26">
      <c r="A392" t="inlineStr">
        <is>
          <t>EXA-0098</t>
        </is>
      </c>
      <c r="B392" t="n">
        <v>2025</v>
      </c>
      <c r="C392" s="31" t="n">
        <v>171163</v>
      </c>
      <c r="D392" t="inlineStr">
        <is>
          <t>연간 확정(가상)</t>
        </is>
      </c>
      <c r="E392" t="inlineStr">
        <is>
          <t>KRW 환산, 만원</t>
        </is>
      </c>
      <c r="F392" t="inlineStr">
        <is>
          <t>가상생성</t>
        </is>
      </c>
    </row>
    <row r="393" ht="21" customHeight="1" s="26">
      <c r="A393" t="inlineStr">
        <is>
          <t>EXA-0098</t>
        </is>
      </c>
      <c r="B393" t="n">
        <v>2026</v>
      </c>
      <c r="C393" s="31" t="n">
        <v>137298</v>
      </c>
      <c r="D393" t="inlineStr">
        <is>
          <t>1~3분기 누계</t>
        </is>
      </c>
      <c r="E393" t="inlineStr">
        <is>
          <t>KRW 환산, 만원</t>
        </is>
      </c>
      <c r="F393" t="inlineStr">
        <is>
          <t>가상생성</t>
        </is>
      </c>
    </row>
    <row r="394" ht="21" customHeight="1" s="26">
      <c r="A394" t="inlineStr">
        <is>
          <t>EXA-0099</t>
        </is>
      </c>
      <c r="B394" t="n">
        <v>2023</v>
      </c>
      <c r="C394" s="31" t="n">
        <v>169187</v>
      </c>
      <c r="D394" t="inlineStr">
        <is>
          <t>연간 확정(가상)</t>
        </is>
      </c>
      <c r="E394" t="inlineStr">
        <is>
          <t>KRW 환산, 만원</t>
        </is>
      </c>
      <c r="F394" t="inlineStr">
        <is>
          <t>가상생성</t>
        </is>
      </c>
    </row>
    <row r="395" ht="21" customHeight="1" s="26">
      <c r="A395" t="inlineStr">
        <is>
          <t>EXA-0099</t>
        </is>
      </c>
      <c r="B395" t="n">
        <v>2024</v>
      </c>
      <c r="C395" s="31" t="n">
        <v>121576</v>
      </c>
      <c r="D395" t="inlineStr">
        <is>
          <t>연간 확정(가상)</t>
        </is>
      </c>
      <c r="E395" t="inlineStr">
        <is>
          <t>KRW 환산, 만원</t>
        </is>
      </c>
      <c r="F395" t="inlineStr">
        <is>
          <t>가상생성</t>
        </is>
      </c>
    </row>
    <row r="396" ht="21" customHeight="1" s="26">
      <c r="A396" t="inlineStr">
        <is>
          <t>EXA-0099</t>
        </is>
      </c>
      <c r="B396" t="n">
        <v>2025</v>
      </c>
      <c r="C396" s="31" t="n">
        <v>161304</v>
      </c>
      <c r="D396" t="inlineStr">
        <is>
          <t>연간 확정(가상)</t>
        </is>
      </c>
      <c r="E396" t="inlineStr">
        <is>
          <t>KRW 환산, 만원</t>
        </is>
      </c>
      <c r="F396" t="inlineStr">
        <is>
          <t>가상생성</t>
        </is>
      </c>
    </row>
    <row r="397" ht="21" customHeight="1" s="26">
      <c r="A397" t="inlineStr">
        <is>
          <t>EXA-0099</t>
        </is>
      </c>
      <c r="B397" t="n">
        <v>2026</v>
      </c>
      <c r="C397" s="31" t="n">
        <v>61542</v>
      </c>
      <c r="D397" t="inlineStr">
        <is>
          <t>1~3분기 누계</t>
        </is>
      </c>
      <c r="E397" t="inlineStr">
        <is>
          <t>KRW 환산, 만원</t>
        </is>
      </c>
      <c r="F397" t="inlineStr">
        <is>
          <t>가상생성</t>
        </is>
      </c>
    </row>
    <row r="398" ht="21" customHeight="1" s="26">
      <c r="A398" t="inlineStr">
        <is>
          <t>EXA-0100</t>
        </is>
      </c>
      <c r="B398" t="n">
        <v>2023</v>
      </c>
      <c r="C398" s="31" t="n">
        <v>55386</v>
      </c>
      <c r="D398" t="inlineStr">
        <is>
          <t>연간 확정(가상)</t>
        </is>
      </c>
      <c r="E398" t="inlineStr">
        <is>
          <t>KRW 환산, 만원</t>
        </is>
      </c>
      <c r="F398" t="inlineStr">
        <is>
          <t>가상생성</t>
        </is>
      </c>
    </row>
    <row r="399" ht="21" customHeight="1" s="26">
      <c r="A399" t="inlineStr">
        <is>
          <t>EXA-0100</t>
        </is>
      </c>
      <c r="B399" t="n">
        <v>2024</v>
      </c>
      <c r="C399" s="31" t="n">
        <v>41050</v>
      </c>
      <c r="D399" t="inlineStr">
        <is>
          <t>연간 확정(가상)</t>
        </is>
      </c>
      <c r="E399" t="inlineStr">
        <is>
          <t>KRW 환산, 만원</t>
        </is>
      </c>
      <c r="F399" t="inlineStr">
        <is>
          <t>가상생성</t>
        </is>
      </c>
    </row>
    <row r="400" ht="21" customHeight="1" s="26">
      <c r="A400" t="inlineStr">
        <is>
          <t>EXA-0100</t>
        </is>
      </c>
      <c r="B400" t="n">
        <v>2025</v>
      </c>
      <c r="C400" s="31" t="n">
        <v>24778</v>
      </c>
      <c r="D400" t="inlineStr">
        <is>
          <t>연간 확정(가상)</t>
        </is>
      </c>
      <c r="E400" t="inlineStr">
        <is>
          <t>KRW 환산, 만원</t>
        </is>
      </c>
      <c r="F400" t="inlineStr">
        <is>
          <t>가상생성</t>
        </is>
      </c>
    </row>
    <row r="401" ht="21" customHeight="1" s="26">
      <c r="A401" t="inlineStr">
        <is>
          <t>EXA-0100</t>
        </is>
      </c>
      <c r="B401" t="n">
        <v>2026</v>
      </c>
      <c r="C401" s="31" t="n">
        <v>11988</v>
      </c>
      <c r="D401" t="inlineStr">
        <is>
          <t>1~3분기 누계</t>
        </is>
      </c>
      <c r="E401" t="inlineStr">
        <is>
          <t>KRW 환산, 만원</t>
        </is>
      </c>
      <c r="F401" t="inlineStr">
        <is>
          <t>가상생성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6" min="1" max="1"/>
    <col width="17" customWidth="1" style="26" min="2" max="2"/>
    <col width="17" customWidth="1" style="26" min="3" max="3"/>
    <col width="14" customWidth="1" style="26" min="4" max="4"/>
    <col width="15" customWidth="1" style="26" min="5" max="5"/>
    <col width="28" customWidth="1" style="26" min="6" max="6"/>
    <col width="16" customWidth="1" style="26" min="7" max="7"/>
    <col width="14" customWidth="1" style="26" min="8" max="8"/>
    <col width="16" customWidth="1" style="26" min="9" max="9"/>
  </cols>
  <sheetData>
    <row r="1" ht="31" customHeight="1" s="26">
      <c r="A1" s="4" t="inlineStr">
        <is>
          <t>점검ID</t>
        </is>
      </c>
      <c r="B1" s="4" t="inlineStr">
        <is>
          <t>업체ID</t>
        </is>
      </c>
      <c r="C1" s="4" t="inlineStr">
        <is>
          <t>점검일</t>
        </is>
      </c>
      <c r="D1" s="4" t="inlineStr">
        <is>
          <t>점검구분</t>
        </is>
      </c>
      <c r="E1" s="4" t="inlineStr">
        <is>
          <t>결과분류</t>
        </is>
      </c>
      <c r="F1" s="4" t="inlineStr">
        <is>
          <t>주요결과(가상)</t>
        </is>
      </c>
      <c r="G1" s="4" t="inlineStr">
        <is>
          <t>후속조치</t>
        </is>
      </c>
      <c r="H1" s="4" t="inlineStr">
        <is>
          <t>담당자</t>
        </is>
      </c>
      <c r="I1" s="4" t="inlineStr">
        <is>
          <t>비고</t>
        </is>
      </c>
    </row>
    <row r="2" ht="21" customHeight="1" s="26">
      <c r="A2" t="inlineStr">
        <is>
          <t>CHK-0001</t>
        </is>
      </c>
      <c r="B2" t="inlineStr">
        <is>
          <t>EXA-0001</t>
        </is>
      </c>
      <c r="C2" t="inlineStr">
        <is>
          <t>2025-06-21</t>
        </is>
      </c>
      <c r="D2" t="inlineStr">
        <is>
          <t>정기</t>
        </is>
      </c>
      <c r="E2" t="inlineStr">
        <is>
          <t>없음</t>
        </is>
      </c>
      <c r="F2" t="inlineStr">
        <is>
          <t>특이사항 없음</t>
        </is>
      </c>
      <c r="G2" t="inlineStr">
        <is>
          <t>종결</t>
        </is>
      </c>
      <c r="H2" t="inlineStr">
        <is>
          <t>담당2</t>
        </is>
      </c>
      <c r="I2" t="inlineStr">
        <is>
          <t>모의 기록</t>
        </is>
      </c>
    </row>
    <row r="3" ht="21" customHeight="1" s="26">
      <c r="A3" t="inlineStr">
        <is>
          <t>CHK-0002</t>
        </is>
      </c>
      <c r="B3" t="inlineStr">
        <is>
          <t>EXA-0002</t>
        </is>
      </c>
      <c r="C3" t="inlineStr">
        <is>
          <t>2023-12-04</t>
        </is>
      </c>
      <c r="D3" t="inlineStr">
        <is>
          <t>서면</t>
        </is>
      </c>
      <c r="E3" t="inlineStr">
        <is>
          <t>없음</t>
        </is>
      </c>
      <c r="F3" t="inlineStr">
        <is>
          <t>특이사항 없음</t>
        </is>
      </c>
      <c r="G3" t="inlineStr">
        <is>
          <t>종결</t>
        </is>
      </c>
      <c r="H3" t="inlineStr">
        <is>
          <t>담당2</t>
        </is>
      </c>
      <c r="I3" t="inlineStr">
        <is>
          <t>모의 기록</t>
        </is>
      </c>
    </row>
    <row r="4" ht="21" customHeight="1" s="26">
      <c r="A4" t="inlineStr">
        <is>
          <t>CHK-0003</t>
        </is>
      </c>
      <c r="B4" t="inlineStr">
        <is>
          <t>EXA-0003</t>
        </is>
      </c>
      <c r="C4" t="inlineStr">
        <is>
          <t>2023-07-19</t>
        </is>
      </c>
      <c r="D4" t="inlineStr">
        <is>
          <t>서면</t>
        </is>
      </c>
      <c r="E4" t="inlineStr">
        <is>
          <t>경미</t>
        </is>
      </c>
      <c r="F4" t="inlineStr">
        <is>
          <t>경미사항 보완요청</t>
        </is>
      </c>
      <c r="G4" t="inlineStr">
        <is>
          <t>추가확인</t>
        </is>
      </c>
      <c r="H4" t="inlineStr">
        <is>
          <t>담당2</t>
        </is>
      </c>
      <c r="I4" t="inlineStr">
        <is>
          <t>모의 기록</t>
        </is>
      </c>
    </row>
    <row r="5" ht="21" customHeight="1" s="26">
      <c r="A5" t="inlineStr">
        <is>
          <t>CHK-0004</t>
        </is>
      </c>
      <c r="B5" t="inlineStr">
        <is>
          <t>EXA-0004</t>
        </is>
      </c>
      <c r="C5" t="inlineStr">
        <is>
          <t>2026-08-08</t>
        </is>
      </c>
      <c r="D5" t="inlineStr">
        <is>
          <t>수시</t>
        </is>
      </c>
      <c r="E5" t="inlineStr">
        <is>
          <t>없음</t>
        </is>
      </c>
      <c r="F5" t="inlineStr">
        <is>
          <t>특이사항 없음</t>
        </is>
      </c>
      <c r="G5" t="inlineStr">
        <is>
          <t>종결</t>
        </is>
      </c>
      <c r="H5" t="inlineStr">
        <is>
          <t>담당3</t>
        </is>
      </c>
      <c r="I5" t="inlineStr">
        <is>
          <t>모의 기록</t>
        </is>
      </c>
    </row>
    <row r="6" ht="21" customHeight="1" s="26">
      <c r="A6" t="inlineStr">
        <is>
          <t>CHK-0005</t>
        </is>
      </c>
      <c r="B6" t="inlineStr">
        <is>
          <t>EXA-0005</t>
        </is>
      </c>
      <c r="C6" t="inlineStr">
        <is>
          <t>2024-04-25</t>
        </is>
      </c>
      <c r="D6" t="inlineStr">
        <is>
          <t>정기</t>
        </is>
      </c>
      <c r="E6" t="inlineStr">
        <is>
          <t>경미</t>
        </is>
      </c>
      <c r="F6" t="inlineStr">
        <is>
          <t>경미사항 보완요청</t>
        </is>
      </c>
      <c r="G6" t="inlineStr">
        <is>
          <t>추가확인</t>
        </is>
      </c>
      <c r="H6" t="inlineStr">
        <is>
          <t>담당2</t>
        </is>
      </c>
      <c r="I6" t="inlineStr">
        <is>
          <t>모의 기록</t>
        </is>
      </c>
    </row>
    <row r="7" ht="21" customHeight="1" s="26">
      <c r="A7" t="inlineStr">
        <is>
          <t>CHK-0006</t>
        </is>
      </c>
      <c r="B7" t="inlineStr">
        <is>
          <t>EXA-0006</t>
        </is>
      </c>
      <c r="C7" t="inlineStr">
        <is>
          <t>2026-08-23</t>
        </is>
      </c>
      <c r="D7" t="inlineStr">
        <is>
          <t>수시</t>
        </is>
      </c>
      <c r="E7" t="inlineStr">
        <is>
          <t>없음</t>
        </is>
      </c>
      <c r="F7" t="inlineStr">
        <is>
          <t>특이사항 없음</t>
        </is>
      </c>
      <c r="G7" t="inlineStr">
        <is>
          <t>종결</t>
        </is>
      </c>
      <c r="H7" t="inlineStr">
        <is>
          <t>담당3</t>
        </is>
      </c>
      <c r="I7" t="inlineStr">
        <is>
          <t>모의 기록</t>
        </is>
      </c>
    </row>
    <row r="8" ht="21" customHeight="1" s="26">
      <c r="A8" t="inlineStr">
        <is>
          <t>CHK-0007</t>
        </is>
      </c>
      <c r="B8" t="inlineStr">
        <is>
          <t>EXA-0007</t>
        </is>
      </c>
      <c r="C8" t="inlineStr">
        <is>
          <t>2024-12-01</t>
        </is>
      </c>
      <c r="D8" t="inlineStr">
        <is>
          <t>정기</t>
        </is>
      </c>
      <c r="E8" t="inlineStr">
        <is>
          <t>없음</t>
        </is>
      </c>
      <c r="F8" t="inlineStr">
        <is>
          <t>특이사항 없음</t>
        </is>
      </c>
      <c r="G8" t="inlineStr">
        <is>
          <t>종결</t>
        </is>
      </c>
      <c r="H8" t="inlineStr">
        <is>
          <t>담당2</t>
        </is>
      </c>
      <c r="I8" t="inlineStr">
        <is>
          <t>모의 기록</t>
        </is>
      </c>
    </row>
    <row r="9" ht="21" customHeight="1" s="26">
      <c r="A9" t="inlineStr">
        <is>
          <t>CHK-0008</t>
        </is>
      </c>
      <c r="B9" t="inlineStr">
        <is>
          <t>EXA-0008</t>
        </is>
      </c>
      <c r="C9" t="inlineStr">
        <is>
          <t>2023-06-01</t>
        </is>
      </c>
      <c r="D9" t="inlineStr">
        <is>
          <t>서면</t>
        </is>
      </c>
      <c r="E9" t="inlineStr">
        <is>
          <t>없음</t>
        </is>
      </c>
      <c r="F9" t="inlineStr">
        <is>
          <t>특이사항 없음</t>
        </is>
      </c>
      <c r="G9" t="inlineStr">
        <is>
          <t>종결</t>
        </is>
      </c>
      <c r="H9" t="inlineStr">
        <is>
          <t>담당3</t>
        </is>
      </c>
      <c r="I9" t="inlineStr">
        <is>
          <t>모의 기록</t>
        </is>
      </c>
    </row>
    <row r="10" ht="21" customHeight="1" s="26">
      <c r="A10" t="inlineStr">
        <is>
          <t>CHK-0009</t>
        </is>
      </c>
      <c r="B10" t="inlineStr">
        <is>
          <t>EXA-0009</t>
        </is>
      </c>
      <c r="C10" t="inlineStr">
        <is>
          <t>2024-10-15</t>
        </is>
      </c>
      <c r="D10" t="inlineStr">
        <is>
          <t>서면</t>
        </is>
      </c>
      <c r="E10" t="inlineStr">
        <is>
          <t>없음</t>
        </is>
      </c>
      <c r="F10" t="inlineStr">
        <is>
          <t>특이사항 없음</t>
        </is>
      </c>
      <c r="G10" t="inlineStr">
        <is>
          <t>종결</t>
        </is>
      </c>
      <c r="H10" t="inlineStr">
        <is>
          <t>담당3</t>
        </is>
      </c>
      <c r="I10" t="inlineStr">
        <is>
          <t>모의 기록</t>
        </is>
      </c>
    </row>
    <row r="11" ht="21" customHeight="1" s="26">
      <c r="A11" t="inlineStr">
        <is>
          <t>CHK-0010</t>
        </is>
      </c>
      <c r="B11" t="inlineStr">
        <is>
          <t>EXA-0010</t>
        </is>
      </c>
      <c r="C11" t="inlineStr">
        <is>
          <t>2023-12-02</t>
        </is>
      </c>
      <c r="D11" t="inlineStr">
        <is>
          <t>서면</t>
        </is>
      </c>
      <c r="E11" t="inlineStr">
        <is>
          <t>없음</t>
        </is>
      </c>
      <c r="F11" t="inlineStr">
        <is>
          <t>특이사항 없음</t>
        </is>
      </c>
      <c r="G11" t="inlineStr">
        <is>
          <t>종결</t>
        </is>
      </c>
      <c r="H11" t="inlineStr">
        <is>
          <t>담당4</t>
        </is>
      </c>
      <c r="I11" t="inlineStr">
        <is>
          <t>모의 기록</t>
        </is>
      </c>
    </row>
    <row r="12" ht="21" customHeight="1" s="26">
      <c r="A12" t="inlineStr">
        <is>
          <t>CHK-0011</t>
        </is>
      </c>
      <c r="B12" t="inlineStr">
        <is>
          <t>EXA-0011</t>
        </is>
      </c>
      <c r="C12" t="inlineStr">
        <is>
          <t>2024-12-19</t>
        </is>
      </c>
      <c r="D12" t="inlineStr">
        <is>
          <t>수시</t>
        </is>
      </c>
      <c r="E12" t="inlineStr">
        <is>
          <t>없음</t>
        </is>
      </c>
      <c r="F12" t="inlineStr">
        <is>
          <t>특이사항 없음</t>
        </is>
      </c>
      <c r="G12" t="inlineStr">
        <is>
          <t>종결</t>
        </is>
      </c>
      <c r="H12" t="inlineStr">
        <is>
          <t>담당2</t>
        </is>
      </c>
      <c r="I12" t="inlineStr">
        <is>
          <t>모의 기록</t>
        </is>
      </c>
    </row>
    <row r="13" ht="21" customHeight="1" s="26">
      <c r="A13" t="inlineStr">
        <is>
          <t>CHK-0012</t>
        </is>
      </c>
      <c r="B13" t="inlineStr">
        <is>
          <t>EXA-0012</t>
        </is>
      </c>
      <c r="C13" t="inlineStr">
        <is>
          <t>2025-03-29</t>
        </is>
      </c>
      <c r="D13" t="inlineStr">
        <is>
          <t>수시</t>
        </is>
      </c>
      <c r="E13" t="inlineStr">
        <is>
          <t>없음</t>
        </is>
      </c>
      <c r="F13" t="inlineStr">
        <is>
          <t>특이사항 없음</t>
        </is>
      </c>
      <c r="G13" t="inlineStr">
        <is>
          <t>종결</t>
        </is>
      </c>
      <c r="H13" t="inlineStr">
        <is>
          <t>담당4</t>
        </is>
      </c>
      <c r="I13" t="inlineStr">
        <is>
          <t>모의 기록</t>
        </is>
      </c>
    </row>
    <row r="14" ht="21" customHeight="1" s="26">
      <c r="A14" t="inlineStr">
        <is>
          <t>CHK-0013</t>
        </is>
      </c>
      <c r="B14" t="inlineStr">
        <is>
          <t>EXA-0013</t>
        </is>
      </c>
      <c r="C14" t="inlineStr">
        <is>
          <t>2026-05-10</t>
        </is>
      </c>
      <c r="D14" t="inlineStr">
        <is>
          <t>정기</t>
        </is>
      </c>
      <c r="E14" t="inlineStr">
        <is>
          <t>없음</t>
        </is>
      </c>
      <c r="F14" t="inlineStr">
        <is>
          <t>특이사항 없음</t>
        </is>
      </c>
      <c r="G14" t="inlineStr">
        <is>
          <t>종결</t>
        </is>
      </c>
      <c r="H14" t="inlineStr">
        <is>
          <t>담당2</t>
        </is>
      </c>
      <c r="I14" t="inlineStr">
        <is>
          <t>모의 기록</t>
        </is>
      </c>
    </row>
    <row r="15" ht="21" customHeight="1" s="26">
      <c r="A15" t="inlineStr">
        <is>
          <t>CHK-0014</t>
        </is>
      </c>
      <c r="B15" t="inlineStr">
        <is>
          <t>EXA-0014</t>
        </is>
      </c>
      <c r="C15" t="inlineStr">
        <is>
          <t>2025-04-10</t>
        </is>
      </c>
      <c r="D15" t="inlineStr">
        <is>
          <t>수시</t>
        </is>
      </c>
      <c r="E15" t="inlineStr">
        <is>
          <t>없음</t>
        </is>
      </c>
      <c r="F15" t="inlineStr">
        <is>
          <t>특이사항 없음</t>
        </is>
      </c>
      <c r="G15" t="inlineStr">
        <is>
          <t>종결</t>
        </is>
      </c>
      <c r="H15" t="inlineStr">
        <is>
          <t>담당3</t>
        </is>
      </c>
      <c r="I15" t="inlineStr">
        <is>
          <t>모의 기록</t>
        </is>
      </c>
    </row>
    <row r="16" ht="21" customHeight="1" s="26">
      <c r="A16" t="inlineStr">
        <is>
          <t>CHK-0015</t>
        </is>
      </c>
      <c r="B16" t="inlineStr">
        <is>
          <t>EXA-0015</t>
        </is>
      </c>
      <c r="C16" t="inlineStr">
        <is>
          <t>2025-01-12</t>
        </is>
      </c>
      <c r="D16" t="inlineStr">
        <is>
          <t>수시</t>
        </is>
      </c>
      <c r="E16" t="inlineStr">
        <is>
          <t>없음</t>
        </is>
      </c>
      <c r="F16" t="inlineStr">
        <is>
          <t>특이사항 없음</t>
        </is>
      </c>
      <c r="G16" t="inlineStr">
        <is>
          <t>종결</t>
        </is>
      </c>
      <c r="H16" t="inlineStr">
        <is>
          <t>담당2</t>
        </is>
      </c>
      <c r="I16" t="inlineStr">
        <is>
          <t>모의 기록</t>
        </is>
      </c>
    </row>
    <row r="17" ht="21" customHeight="1" s="26">
      <c r="A17" t="inlineStr">
        <is>
          <t>CHK-0016</t>
        </is>
      </c>
      <c r="B17" t="inlineStr">
        <is>
          <t>EXA-0016</t>
        </is>
      </c>
      <c r="C17" t="inlineStr">
        <is>
          <t>2023-08-28</t>
        </is>
      </c>
      <c r="D17" t="inlineStr">
        <is>
          <t>서면</t>
        </is>
      </c>
      <c r="E17" t="inlineStr">
        <is>
          <t>없음</t>
        </is>
      </c>
      <c r="F17" t="inlineStr">
        <is>
          <t>특이사항 없음</t>
        </is>
      </c>
      <c r="G17" t="inlineStr">
        <is>
          <t>종결</t>
        </is>
      </c>
      <c r="H17" t="inlineStr">
        <is>
          <t>담당2</t>
        </is>
      </c>
      <c r="I17" t="inlineStr">
        <is>
          <t>모의 기록</t>
        </is>
      </c>
    </row>
    <row r="18" ht="21" customHeight="1" s="26">
      <c r="A18" t="inlineStr">
        <is>
          <t>CHK-0017</t>
        </is>
      </c>
      <c r="B18" t="inlineStr">
        <is>
          <t>EXA-0017</t>
        </is>
      </c>
      <c r="C18" t="inlineStr">
        <is>
          <t>2021-07-15</t>
        </is>
      </c>
      <c r="D18" t="inlineStr">
        <is>
          <t>정기</t>
        </is>
      </c>
      <c r="E18" t="inlineStr">
        <is>
          <t>경미</t>
        </is>
      </c>
      <c r="F18" t="inlineStr">
        <is>
          <t>경미사항 보완요청</t>
        </is>
      </c>
      <c r="G18" t="inlineStr">
        <is>
          <t>추가확인</t>
        </is>
      </c>
      <c r="H18" t="inlineStr">
        <is>
          <t>담당2</t>
        </is>
      </c>
      <c r="I18" t="inlineStr">
        <is>
          <t>모의 기록</t>
        </is>
      </c>
    </row>
    <row r="19" ht="21" customHeight="1" s="26">
      <c r="A19" t="inlineStr">
        <is>
          <t>CHK-0018</t>
        </is>
      </c>
      <c r="B19" t="inlineStr">
        <is>
          <t>EXA-0018</t>
        </is>
      </c>
      <c r="C19" t="inlineStr">
        <is>
          <t>2021-01-07</t>
        </is>
      </c>
      <c r="D19" t="inlineStr">
        <is>
          <t>정기</t>
        </is>
      </c>
      <c r="E19" t="inlineStr">
        <is>
          <t>없음</t>
        </is>
      </c>
      <c r="F19" t="inlineStr">
        <is>
          <t>특이사항 없음</t>
        </is>
      </c>
      <c r="G19" t="inlineStr">
        <is>
          <t>종결</t>
        </is>
      </c>
      <c r="H19" t="inlineStr">
        <is>
          <t>담당2</t>
        </is>
      </c>
      <c r="I19" t="inlineStr">
        <is>
          <t>모의 기록</t>
        </is>
      </c>
    </row>
    <row r="20" ht="21" customHeight="1" s="26">
      <c r="A20" t="inlineStr">
        <is>
          <t>CHK-0019</t>
        </is>
      </c>
      <c r="B20" t="inlineStr">
        <is>
          <t>EXA-0019</t>
        </is>
      </c>
      <c r="C20" t="inlineStr">
        <is>
          <t>2022-02-26</t>
        </is>
      </c>
      <c r="D20" t="inlineStr">
        <is>
          <t>정기</t>
        </is>
      </c>
      <c r="E20" t="inlineStr">
        <is>
          <t>없음</t>
        </is>
      </c>
      <c r="F20" t="inlineStr">
        <is>
          <t>특이사항 없음</t>
        </is>
      </c>
      <c r="G20" t="inlineStr">
        <is>
          <t>종결</t>
        </is>
      </c>
      <c r="H20" t="inlineStr">
        <is>
          <t>담당1</t>
        </is>
      </c>
      <c r="I20" t="inlineStr">
        <is>
          <t>모의 기록</t>
        </is>
      </c>
    </row>
    <row r="21" ht="21" customHeight="1" s="26">
      <c r="A21" t="inlineStr">
        <is>
          <t>CHK-0020</t>
        </is>
      </c>
      <c r="B21" t="inlineStr">
        <is>
          <t>EXA-0020</t>
        </is>
      </c>
      <c r="C21" t="inlineStr">
        <is>
          <t>2025-05-23</t>
        </is>
      </c>
      <c r="D21" t="inlineStr">
        <is>
          <t>수시</t>
        </is>
      </c>
      <c r="E21" t="inlineStr">
        <is>
          <t>없음</t>
        </is>
      </c>
      <c r="F21" t="inlineStr">
        <is>
          <t>특이사항 없음</t>
        </is>
      </c>
      <c r="G21" t="inlineStr">
        <is>
          <t>종결</t>
        </is>
      </c>
      <c r="H21" t="inlineStr">
        <is>
          <t>담당2</t>
        </is>
      </c>
      <c r="I21" t="inlineStr">
        <is>
          <t>모의 기록</t>
        </is>
      </c>
    </row>
    <row r="22" ht="21" customHeight="1" s="26">
      <c r="A22" t="inlineStr">
        <is>
          <t>CHK-0021</t>
        </is>
      </c>
      <c r="B22" t="inlineStr">
        <is>
          <t>EXA-0021</t>
        </is>
      </c>
      <c r="C22" t="inlineStr">
        <is>
          <t>2022-10-12</t>
        </is>
      </c>
      <c r="D22" t="inlineStr">
        <is>
          <t>수시</t>
        </is>
      </c>
      <c r="E22" t="inlineStr">
        <is>
          <t>경미</t>
        </is>
      </c>
      <c r="F22" t="inlineStr">
        <is>
          <t>경미사항 보완요청</t>
        </is>
      </c>
      <c r="G22" t="inlineStr">
        <is>
          <t>추가확인</t>
        </is>
      </c>
      <c r="H22" t="inlineStr">
        <is>
          <t>담당1</t>
        </is>
      </c>
      <c r="I22" t="inlineStr">
        <is>
          <t>모의 기록</t>
        </is>
      </c>
    </row>
    <row r="23" ht="21" customHeight="1" s="26">
      <c r="A23" t="inlineStr">
        <is>
          <t>CHK-0022</t>
        </is>
      </c>
      <c r="B23" t="inlineStr">
        <is>
          <t>EXA-0022</t>
        </is>
      </c>
      <c r="C23" t="inlineStr">
        <is>
          <t>2023-03-03</t>
        </is>
      </c>
      <c r="D23" t="inlineStr">
        <is>
          <t>수시</t>
        </is>
      </c>
      <c r="E23" t="inlineStr">
        <is>
          <t>없음</t>
        </is>
      </c>
      <c r="F23" t="inlineStr">
        <is>
          <t>특이사항 없음</t>
        </is>
      </c>
      <c r="G23" t="inlineStr">
        <is>
          <t>종결</t>
        </is>
      </c>
      <c r="H23" t="inlineStr">
        <is>
          <t>담당2</t>
        </is>
      </c>
      <c r="I23" t="inlineStr">
        <is>
          <t>모의 기록</t>
        </is>
      </c>
    </row>
    <row r="24" ht="21" customHeight="1" s="26">
      <c r="A24" t="inlineStr">
        <is>
          <t>CHK-0023</t>
        </is>
      </c>
      <c r="B24" t="inlineStr">
        <is>
          <t>EXA-0023</t>
        </is>
      </c>
      <c r="C24" t="inlineStr">
        <is>
          <t>2024-10-24</t>
        </is>
      </c>
      <c r="D24" t="inlineStr">
        <is>
          <t>정기</t>
        </is>
      </c>
      <c r="E24" t="inlineStr">
        <is>
          <t>경미</t>
        </is>
      </c>
      <c r="F24" t="inlineStr">
        <is>
          <t>경미사항 보완요청</t>
        </is>
      </c>
      <c r="G24" t="inlineStr">
        <is>
          <t>추가확인</t>
        </is>
      </c>
      <c r="H24" t="inlineStr">
        <is>
          <t>담당3</t>
        </is>
      </c>
      <c r="I24" t="inlineStr">
        <is>
          <t>모의 기록</t>
        </is>
      </c>
    </row>
    <row r="25" ht="21" customHeight="1" s="26">
      <c r="A25" t="inlineStr">
        <is>
          <t>CHK-0024</t>
        </is>
      </c>
      <c r="B25" t="inlineStr">
        <is>
          <t>EXA-0024</t>
        </is>
      </c>
      <c r="C25" t="inlineStr">
        <is>
          <t>2026-05-21</t>
        </is>
      </c>
      <c r="D25" t="inlineStr">
        <is>
          <t>서면</t>
        </is>
      </c>
      <c r="E25" t="inlineStr">
        <is>
          <t>없음</t>
        </is>
      </c>
      <c r="F25" t="inlineStr">
        <is>
          <t>특이사항 없음</t>
        </is>
      </c>
      <c r="G25" t="inlineStr">
        <is>
          <t>종결</t>
        </is>
      </c>
      <c r="H25" t="inlineStr">
        <is>
          <t>담당2</t>
        </is>
      </c>
      <c r="I25" t="inlineStr">
        <is>
          <t>모의 기록</t>
        </is>
      </c>
    </row>
    <row r="26" ht="21" customHeight="1" s="26">
      <c r="A26" t="inlineStr">
        <is>
          <t>CHK-0025</t>
        </is>
      </c>
      <c r="B26" t="inlineStr">
        <is>
          <t>EXA-0025</t>
        </is>
      </c>
      <c r="C26" t="inlineStr">
        <is>
          <t>2021-08-16</t>
        </is>
      </c>
      <c r="D26" t="inlineStr">
        <is>
          <t>정기</t>
        </is>
      </c>
      <c r="E26" t="inlineStr">
        <is>
          <t>중대</t>
        </is>
      </c>
      <c r="F26" t="inlineStr">
        <is>
          <t>추가 검토 필요</t>
        </is>
      </c>
      <c r="G26" t="inlineStr">
        <is>
          <t>보완완료</t>
        </is>
      </c>
      <c r="H26" t="inlineStr">
        <is>
          <t>담당4</t>
        </is>
      </c>
      <c r="I26" t="inlineStr">
        <is>
          <t>모의 기록</t>
        </is>
      </c>
    </row>
    <row r="27" ht="21" customHeight="1" s="26">
      <c r="A27" t="inlineStr">
        <is>
          <t>CHK-0026</t>
        </is>
      </c>
      <c r="B27" t="inlineStr">
        <is>
          <t>EXA-0026</t>
        </is>
      </c>
      <c r="C27" t="inlineStr">
        <is>
          <t>2026-08-20</t>
        </is>
      </c>
      <c r="D27" t="inlineStr">
        <is>
          <t>정기</t>
        </is>
      </c>
      <c r="E27" t="inlineStr">
        <is>
          <t>없음</t>
        </is>
      </c>
      <c r="F27" t="inlineStr">
        <is>
          <t>특이사항 없음</t>
        </is>
      </c>
      <c r="G27" t="inlineStr">
        <is>
          <t>종결</t>
        </is>
      </c>
      <c r="H27" t="inlineStr">
        <is>
          <t>담당2</t>
        </is>
      </c>
      <c r="I27" t="inlineStr">
        <is>
          <t>모의 기록</t>
        </is>
      </c>
    </row>
    <row r="28" ht="21" customHeight="1" s="26">
      <c r="A28" t="inlineStr">
        <is>
          <t>CHK-0027</t>
        </is>
      </c>
      <c r="B28" t="inlineStr">
        <is>
          <t>EXA-0027</t>
        </is>
      </c>
      <c r="C28" t="inlineStr">
        <is>
          <t>2023-02-10</t>
        </is>
      </c>
      <c r="D28" t="inlineStr">
        <is>
          <t>정기</t>
        </is>
      </c>
      <c r="E28" t="inlineStr">
        <is>
          <t>경미</t>
        </is>
      </c>
      <c r="F28" t="inlineStr">
        <is>
          <t>경미사항 보완요청</t>
        </is>
      </c>
      <c r="G28" t="inlineStr">
        <is>
          <t>보완완료</t>
        </is>
      </c>
      <c r="H28" t="inlineStr">
        <is>
          <t>담당1</t>
        </is>
      </c>
      <c r="I28" t="inlineStr">
        <is>
          <t>모의 기록</t>
        </is>
      </c>
    </row>
    <row r="29" ht="21" customHeight="1" s="26">
      <c r="A29" t="inlineStr">
        <is>
          <t>CHK-0028</t>
        </is>
      </c>
      <c r="B29" t="inlineStr">
        <is>
          <t>EXA-0028</t>
        </is>
      </c>
      <c r="C29" t="inlineStr">
        <is>
          <t>2024-01-30</t>
        </is>
      </c>
      <c r="D29" t="inlineStr">
        <is>
          <t>정기</t>
        </is>
      </c>
      <c r="E29" t="inlineStr">
        <is>
          <t>없음</t>
        </is>
      </c>
      <c r="F29" t="inlineStr">
        <is>
          <t>특이사항 없음</t>
        </is>
      </c>
      <c r="G29" t="inlineStr">
        <is>
          <t>종결</t>
        </is>
      </c>
      <c r="H29" t="inlineStr">
        <is>
          <t>담당1</t>
        </is>
      </c>
      <c r="I29" t="inlineStr">
        <is>
          <t>모의 기록</t>
        </is>
      </c>
    </row>
    <row r="30" ht="21" customHeight="1" s="26">
      <c r="A30" t="inlineStr">
        <is>
          <t>CHK-0029</t>
        </is>
      </c>
      <c r="B30" t="inlineStr">
        <is>
          <t>EXA-0029</t>
        </is>
      </c>
      <c r="C30" t="inlineStr">
        <is>
          <t>2021-08-19</t>
        </is>
      </c>
      <c r="D30" t="inlineStr">
        <is>
          <t>수시</t>
        </is>
      </c>
      <c r="E30" t="inlineStr">
        <is>
          <t>없음</t>
        </is>
      </c>
      <c r="F30" t="inlineStr">
        <is>
          <t>특이사항 없음</t>
        </is>
      </c>
      <c r="G30" t="inlineStr">
        <is>
          <t>종결</t>
        </is>
      </c>
      <c r="H30" t="inlineStr">
        <is>
          <t>담당4</t>
        </is>
      </c>
      <c r="I30" t="inlineStr">
        <is>
          <t>모의 기록</t>
        </is>
      </c>
    </row>
    <row r="31" ht="21" customHeight="1" s="26">
      <c r="A31" t="inlineStr">
        <is>
          <t>CHK-0030</t>
        </is>
      </c>
      <c r="B31" t="inlineStr">
        <is>
          <t>EXA-0030</t>
        </is>
      </c>
      <c r="C31" t="inlineStr">
        <is>
          <t>2022-09-26</t>
        </is>
      </c>
      <c r="D31" t="inlineStr">
        <is>
          <t>정기</t>
        </is>
      </c>
      <c r="E31" t="inlineStr">
        <is>
          <t>없음</t>
        </is>
      </c>
      <c r="F31" t="inlineStr">
        <is>
          <t>특이사항 없음</t>
        </is>
      </c>
      <c r="G31" t="inlineStr">
        <is>
          <t>종결</t>
        </is>
      </c>
      <c r="H31" t="inlineStr">
        <is>
          <t>담당3</t>
        </is>
      </c>
      <c r="I31" t="inlineStr">
        <is>
          <t>모의 기록</t>
        </is>
      </c>
    </row>
    <row r="32" ht="21" customHeight="1" s="26">
      <c r="A32" t="inlineStr">
        <is>
          <t>CHK-0031</t>
        </is>
      </c>
      <c r="B32" t="inlineStr">
        <is>
          <t>EXA-0031</t>
        </is>
      </c>
      <c r="C32" t="inlineStr">
        <is>
          <t>2025-01-06</t>
        </is>
      </c>
      <c r="D32" t="inlineStr">
        <is>
          <t>수시</t>
        </is>
      </c>
      <c r="E32" t="inlineStr">
        <is>
          <t>중대</t>
        </is>
      </c>
      <c r="F32" t="inlineStr">
        <is>
          <t>추가 검토 필요</t>
        </is>
      </c>
      <c r="G32" t="inlineStr">
        <is>
          <t>보완완료</t>
        </is>
      </c>
      <c r="H32" t="inlineStr">
        <is>
          <t>담당1</t>
        </is>
      </c>
      <c r="I32" t="inlineStr">
        <is>
          <t>모의 기록</t>
        </is>
      </c>
    </row>
    <row r="33" ht="21" customHeight="1" s="26">
      <c r="A33" t="inlineStr">
        <is>
          <t>CHK-0032</t>
        </is>
      </c>
      <c r="B33" t="inlineStr">
        <is>
          <t>EXA-0032</t>
        </is>
      </c>
      <c r="C33" t="inlineStr">
        <is>
          <t>2023-05-18</t>
        </is>
      </c>
      <c r="D33" t="inlineStr">
        <is>
          <t>수시</t>
        </is>
      </c>
      <c r="E33" t="inlineStr">
        <is>
          <t>경미</t>
        </is>
      </c>
      <c r="F33" t="inlineStr">
        <is>
          <t>경미사항 보완요청</t>
        </is>
      </c>
      <c r="G33" t="inlineStr">
        <is>
          <t>보완완료</t>
        </is>
      </c>
      <c r="H33" t="inlineStr">
        <is>
          <t>담당2</t>
        </is>
      </c>
      <c r="I33" t="inlineStr">
        <is>
          <t>모의 기록</t>
        </is>
      </c>
    </row>
    <row r="34" ht="21" customHeight="1" s="26">
      <c r="A34" t="inlineStr">
        <is>
          <t>CHK-0033</t>
        </is>
      </c>
      <c r="B34" t="inlineStr">
        <is>
          <t>EXA-0033</t>
        </is>
      </c>
      <c r="C34" t="inlineStr">
        <is>
          <t>2023-09-12</t>
        </is>
      </c>
      <c r="D34" t="inlineStr">
        <is>
          <t>서면</t>
        </is>
      </c>
      <c r="E34" t="inlineStr">
        <is>
          <t>경미</t>
        </is>
      </c>
      <c r="F34" t="inlineStr">
        <is>
          <t>경미사항 보완요청</t>
        </is>
      </c>
      <c r="G34" t="inlineStr">
        <is>
          <t>추가확인</t>
        </is>
      </c>
      <c r="H34" t="inlineStr">
        <is>
          <t>담당4</t>
        </is>
      </c>
      <c r="I34" t="inlineStr">
        <is>
          <t>모의 기록</t>
        </is>
      </c>
    </row>
    <row r="35" ht="21" customHeight="1" s="26">
      <c r="A35" t="inlineStr">
        <is>
          <t>CHK-0034</t>
        </is>
      </c>
      <c r="B35" t="inlineStr">
        <is>
          <t>EXA-0034</t>
        </is>
      </c>
      <c r="C35" t="inlineStr">
        <is>
          <t>2021-06-29</t>
        </is>
      </c>
      <c r="D35" t="inlineStr">
        <is>
          <t>수시</t>
        </is>
      </c>
      <c r="E35" t="inlineStr">
        <is>
          <t>없음</t>
        </is>
      </c>
      <c r="F35" t="inlineStr">
        <is>
          <t>특이사항 없음</t>
        </is>
      </c>
      <c r="G35" t="inlineStr">
        <is>
          <t>종결</t>
        </is>
      </c>
      <c r="H35" t="inlineStr">
        <is>
          <t>담당3</t>
        </is>
      </c>
      <c r="I35" t="inlineStr">
        <is>
          <t>모의 기록</t>
        </is>
      </c>
    </row>
    <row r="36" ht="21" customHeight="1" s="26">
      <c r="A36" t="inlineStr">
        <is>
          <t>CHK-0035</t>
        </is>
      </c>
      <c r="B36" t="inlineStr">
        <is>
          <t>EXA-0035</t>
        </is>
      </c>
      <c r="C36" t="inlineStr">
        <is>
          <t>2022-01-04</t>
        </is>
      </c>
      <c r="D36" t="inlineStr">
        <is>
          <t>정기</t>
        </is>
      </c>
      <c r="E36" t="inlineStr">
        <is>
          <t>없음</t>
        </is>
      </c>
      <c r="F36" t="inlineStr">
        <is>
          <t>특이사항 없음</t>
        </is>
      </c>
      <c r="G36" t="inlineStr">
        <is>
          <t>종결</t>
        </is>
      </c>
      <c r="H36" t="inlineStr">
        <is>
          <t>담당4</t>
        </is>
      </c>
      <c r="I36" t="inlineStr">
        <is>
          <t>모의 기록</t>
        </is>
      </c>
    </row>
    <row r="37" ht="21" customHeight="1" s="26">
      <c r="A37" t="inlineStr">
        <is>
          <t>CHK-0036</t>
        </is>
      </c>
      <c r="B37" t="inlineStr">
        <is>
          <t>EXA-0036</t>
        </is>
      </c>
      <c r="C37" t="inlineStr">
        <is>
          <t>2021-10-15</t>
        </is>
      </c>
      <c r="D37" t="inlineStr">
        <is>
          <t>수시</t>
        </is>
      </c>
      <c r="E37" t="inlineStr">
        <is>
          <t>없음</t>
        </is>
      </c>
      <c r="F37" t="inlineStr">
        <is>
          <t>특이사항 없음</t>
        </is>
      </c>
      <c r="G37" t="inlineStr">
        <is>
          <t>종결</t>
        </is>
      </c>
      <c r="H37" t="inlineStr">
        <is>
          <t>담당3</t>
        </is>
      </c>
      <c r="I37" t="inlineStr">
        <is>
          <t>모의 기록</t>
        </is>
      </c>
    </row>
    <row r="38" ht="21" customHeight="1" s="26">
      <c r="A38" t="inlineStr">
        <is>
          <t>CHK-0037</t>
        </is>
      </c>
      <c r="B38" t="inlineStr">
        <is>
          <t>EXA-0037</t>
        </is>
      </c>
      <c r="C38" t="inlineStr">
        <is>
          <t>2025-01-31</t>
        </is>
      </c>
      <c r="D38" t="inlineStr">
        <is>
          <t>수시</t>
        </is>
      </c>
      <c r="E38" t="inlineStr">
        <is>
          <t>없음</t>
        </is>
      </c>
      <c r="F38" t="inlineStr">
        <is>
          <t>특이사항 없음</t>
        </is>
      </c>
      <c r="G38" t="inlineStr">
        <is>
          <t>종결</t>
        </is>
      </c>
      <c r="H38" t="inlineStr">
        <is>
          <t>담당4</t>
        </is>
      </c>
      <c r="I38" t="inlineStr">
        <is>
          <t>모의 기록</t>
        </is>
      </c>
    </row>
    <row r="39" ht="21" customHeight="1" s="26">
      <c r="A39" t="inlineStr">
        <is>
          <t>CHK-0038</t>
        </is>
      </c>
      <c r="B39" t="inlineStr">
        <is>
          <t>EXA-0038</t>
        </is>
      </c>
      <c r="C39" t="inlineStr">
        <is>
          <t>2025-07-13</t>
        </is>
      </c>
      <c r="D39" t="inlineStr">
        <is>
          <t>정기</t>
        </is>
      </c>
      <c r="E39" t="inlineStr">
        <is>
          <t>없음</t>
        </is>
      </c>
      <c r="F39" t="inlineStr">
        <is>
          <t>특이사항 없음</t>
        </is>
      </c>
      <c r="G39" t="inlineStr">
        <is>
          <t>종결</t>
        </is>
      </c>
      <c r="H39" t="inlineStr">
        <is>
          <t>담당2</t>
        </is>
      </c>
      <c r="I39" t="inlineStr">
        <is>
          <t>모의 기록</t>
        </is>
      </c>
    </row>
    <row r="40" ht="21" customHeight="1" s="26">
      <c r="A40" t="inlineStr">
        <is>
          <t>CHK-0039</t>
        </is>
      </c>
      <c r="B40" t="inlineStr">
        <is>
          <t>EXA-0039</t>
        </is>
      </c>
      <c r="C40" t="inlineStr">
        <is>
          <t>2021-12-29</t>
        </is>
      </c>
      <c r="D40" t="inlineStr">
        <is>
          <t>정기</t>
        </is>
      </c>
      <c r="E40" t="inlineStr">
        <is>
          <t>경미</t>
        </is>
      </c>
      <c r="F40" t="inlineStr">
        <is>
          <t>경미사항 보완요청</t>
        </is>
      </c>
      <c r="G40" t="inlineStr">
        <is>
          <t>추가확인</t>
        </is>
      </c>
      <c r="H40" t="inlineStr">
        <is>
          <t>담당2</t>
        </is>
      </c>
      <c r="I40" t="inlineStr">
        <is>
          <t>모의 기록</t>
        </is>
      </c>
    </row>
    <row r="41" ht="21" customHeight="1" s="26">
      <c r="A41" t="inlineStr">
        <is>
          <t>CHK-0040</t>
        </is>
      </c>
      <c r="B41" t="inlineStr">
        <is>
          <t>EXA-0040</t>
        </is>
      </c>
      <c r="C41" t="inlineStr">
        <is>
          <t>2022-11-29</t>
        </is>
      </c>
      <c r="D41" t="inlineStr">
        <is>
          <t>서면</t>
        </is>
      </c>
      <c r="E41" t="inlineStr">
        <is>
          <t>없음</t>
        </is>
      </c>
      <c r="F41" t="inlineStr">
        <is>
          <t>특이사항 없음</t>
        </is>
      </c>
      <c r="G41" t="inlineStr">
        <is>
          <t>종결</t>
        </is>
      </c>
      <c r="H41" t="inlineStr">
        <is>
          <t>담당3</t>
        </is>
      </c>
      <c r="I41" t="inlineStr">
        <is>
          <t>모의 기록</t>
        </is>
      </c>
    </row>
    <row r="42" ht="21" customHeight="1" s="26">
      <c r="A42" t="inlineStr">
        <is>
          <t>CHK-0041</t>
        </is>
      </c>
      <c r="B42" t="inlineStr">
        <is>
          <t>EXA-0041</t>
        </is>
      </c>
      <c r="C42" t="inlineStr">
        <is>
          <t>2023-02-21</t>
        </is>
      </c>
      <c r="D42" t="inlineStr">
        <is>
          <t>정기</t>
        </is>
      </c>
      <c r="E42" t="inlineStr">
        <is>
          <t>없음</t>
        </is>
      </c>
      <c r="F42" t="inlineStr">
        <is>
          <t>특이사항 없음</t>
        </is>
      </c>
      <c r="G42" t="inlineStr">
        <is>
          <t>종결</t>
        </is>
      </c>
      <c r="H42" t="inlineStr">
        <is>
          <t>담당4</t>
        </is>
      </c>
      <c r="I42" t="inlineStr">
        <is>
          <t>모의 기록</t>
        </is>
      </c>
    </row>
    <row r="43" ht="21" customHeight="1" s="26">
      <c r="A43" t="inlineStr">
        <is>
          <t>CHK-0042</t>
        </is>
      </c>
      <c r="B43" t="inlineStr">
        <is>
          <t>EXA-0042</t>
        </is>
      </c>
      <c r="C43" t="inlineStr">
        <is>
          <t>2022-10-27</t>
        </is>
      </c>
      <c r="D43" t="inlineStr">
        <is>
          <t>정기</t>
        </is>
      </c>
      <c r="E43" t="inlineStr">
        <is>
          <t>없음</t>
        </is>
      </c>
      <c r="F43" t="inlineStr">
        <is>
          <t>특이사항 없음</t>
        </is>
      </c>
      <c r="G43" t="inlineStr">
        <is>
          <t>종결</t>
        </is>
      </c>
      <c r="H43" t="inlineStr">
        <is>
          <t>담당3</t>
        </is>
      </c>
      <c r="I43" t="inlineStr">
        <is>
          <t>모의 기록</t>
        </is>
      </c>
    </row>
    <row r="44" ht="21" customHeight="1" s="26">
      <c r="A44" t="inlineStr">
        <is>
          <t>CHK-0043</t>
        </is>
      </c>
      <c r="B44" t="inlineStr">
        <is>
          <t>EXA-0043</t>
        </is>
      </c>
      <c r="C44" t="inlineStr">
        <is>
          <t>2025-04-16</t>
        </is>
      </c>
      <c r="D44" t="inlineStr">
        <is>
          <t>서면</t>
        </is>
      </c>
      <c r="E44" t="inlineStr">
        <is>
          <t>없음</t>
        </is>
      </c>
      <c r="F44" t="inlineStr">
        <is>
          <t>특이사항 없음</t>
        </is>
      </c>
      <c r="G44" t="inlineStr">
        <is>
          <t>종결</t>
        </is>
      </c>
      <c r="H44" t="inlineStr">
        <is>
          <t>담당3</t>
        </is>
      </c>
      <c r="I44" t="inlineStr">
        <is>
          <t>모의 기록</t>
        </is>
      </c>
    </row>
    <row r="45" ht="21" customHeight="1" s="26">
      <c r="A45" t="inlineStr">
        <is>
          <t>CHK-0044</t>
        </is>
      </c>
      <c r="B45" t="inlineStr">
        <is>
          <t>EXA-0044</t>
        </is>
      </c>
      <c r="C45" t="inlineStr">
        <is>
          <t>2021-07-23</t>
        </is>
      </c>
      <c r="D45" t="inlineStr">
        <is>
          <t>수시</t>
        </is>
      </c>
      <c r="E45" t="inlineStr">
        <is>
          <t>없음</t>
        </is>
      </c>
      <c r="F45" t="inlineStr">
        <is>
          <t>특이사항 없음</t>
        </is>
      </c>
      <c r="G45" t="inlineStr">
        <is>
          <t>종결</t>
        </is>
      </c>
      <c r="H45" t="inlineStr">
        <is>
          <t>담당3</t>
        </is>
      </c>
      <c r="I45" t="inlineStr">
        <is>
          <t>모의 기록</t>
        </is>
      </c>
    </row>
    <row r="46" ht="21" customHeight="1" s="26">
      <c r="A46" t="inlineStr">
        <is>
          <t>CHK-0045</t>
        </is>
      </c>
      <c r="B46" t="inlineStr">
        <is>
          <t>EXA-0045</t>
        </is>
      </c>
      <c r="C46" t="inlineStr">
        <is>
          <t>2023-05-06</t>
        </is>
      </c>
      <c r="D46" t="inlineStr">
        <is>
          <t>정기</t>
        </is>
      </c>
      <c r="E46" t="inlineStr">
        <is>
          <t>없음</t>
        </is>
      </c>
      <c r="F46" t="inlineStr">
        <is>
          <t>특이사항 없음</t>
        </is>
      </c>
      <c r="G46" t="inlineStr">
        <is>
          <t>종결</t>
        </is>
      </c>
      <c r="H46" t="inlineStr">
        <is>
          <t>담당3</t>
        </is>
      </c>
      <c r="I46" t="inlineStr">
        <is>
          <t>모의 기록</t>
        </is>
      </c>
    </row>
    <row r="47" ht="21" customHeight="1" s="26">
      <c r="A47" t="inlineStr">
        <is>
          <t>CHK-0046</t>
        </is>
      </c>
      <c r="B47" t="inlineStr">
        <is>
          <t>EXA-0046</t>
        </is>
      </c>
      <c r="C47" t="inlineStr">
        <is>
          <t>2021-07-09</t>
        </is>
      </c>
      <c r="D47" t="inlineStr">
        <is>
          <t>서면</t>
        </is>
      </c>
      <c r="E47" t="inlineStr">
        <is>
          <t>경미</t>
        </is>
      </c>
      <c r="F47" t="inlineStr">
        <is>
          <t>경미사항 보완요청</t>
        </is>
      </c>
      <c r="G47" t="inlineStr">
        <is>
          <t>조치중</t>
        </is>
      </c>
      <c r="H47" t="inlineStr">
        <is>
          <t>담당2</t>
        </is>
      </c>
      <c r="I47" t="inlineStr">
        <is>
          <t>모의 기록</t>
        </is>
      </c>
    </row>
    <row r="48" ht="21" customHeight="1" s="26">
      <c r="A48" t="inlineStr">
        <is>
          <t>CHK-0047</t>
        </is>
      </c>
      <c r="B48" t="inlineStr">
        <is>
          <t>EXA-0047</t>
        </is>
      </c>
      <c r="C48" t="inlineStr">
        <is>
          <t>2021-12-05</t>
        </is>
      </c>
      <c r="D48" t="inlineStr">
        <is>
          <t>서면</t>
        </is>
      </c>
      <c r="E48" t="inlineStr">
        <is>
          <t>중대</t>
        </is>
      </c>
      <c r="F48" t="inlineStr">
        <is>
          <t>추가 검토 필요</t>
        </is>
      </c>
      <c r="G48" t="inlineStr">
        <is>
          <t>조치중</t>
        </is>
      </c>
      <c r="H48" t="inlineStr">
        <is>
          <t>담당4</t>
        </is>
      </c>
      <c r="I48" t="inlineStr">
        <is>
          <t>모의 기록</t>
        </is>
      </c>
    </row>
    <row r="49" ht="21" customHeight="1" s="26">
      <c r="A49" t="inlineStr">
        <is>
          <t>CHK-0048</t>
        </is>
      </c>
      <c r="B49" t="inlineStr">
        <is>
          <t>EXA-0048</t>
        </is>
      </c>
      <c r="C49" t="inlineStr">
        <is>
          <t>2022-04-21</t>
        </is>
      </c>
      <c r="D49" t="inlineStr">
        <is>
          <t>서면</t>
        </is>
      </c>
      <c r="E49" t="inlineStr">
        <is>
          <t>없음</t>
        </is>
      </c>
      <c r="F49" t="inlineStr">
        <is>
          <t>특이사항 없음</t>
        </is>
      </c>
      <c r="G49" t="inlineStr">
        <is>
          <t>종결</t>
        </is>
      </c>
      <c r="H49" t="inlineStr">
        <is>
          <t>담당3</t>
        </is>
      </c>
      <c r="I49" t="inlineStr">
        <is>
          <t>모의 기록</t>
        </is>
      </c>
    </row>
    <row r="50" ht="21" customHeight="1" s="26">
      <c r="A50" t="inlineStr">
        <is>
          <t>CHK-0049</t>
        </is>
      </c>
      <c r="B50" t="inlineStr">
        <is>
          <t>EXA-0049</t>
        </is>
      </c>
      <c r="C50" t="inlineStr">
        <is>
          <t>2024-04-22</t>
        </is>
      </c>
      <c r="D50" t="inlineStr">
        <is>
          <t>정기</t>
        </is>
      </c>
      <c r="E50" t="inlineStr">
        <is>
          <t>경미</t>
        </is>
      </c>
      <c r="F50" t="inlineStr">
        <is>
          <t>경미사항 보완요청</t>
        </is>
      </c>
      <c r="G50" t="inlineStr">
        <is>
          <t>보완완료</t>
        </is>
      </c>
      <c r="H50" t="inlineStr">
        <is>
          <t>담당3</t>
        </is>
      </c>
      <c r="I50" t="inlineStr">
        <is>
          <t>모의 기록</t>
        </is>
      </c>
    </row>
    <row r="51" ht="21" customHeight="1" s="26">
      <c r="A51" t="inlineStr">
        <is>
          <t>CHK-0050</t>
        </is>
      </c>
      <c r="B51" t="inlineStr">
        <is>
          <t>EXA-0050</t>
        </is>
      </c>
      <c r="C51" t="inlineStr">
        <is>
          <t>2024-08-10</t>
        </is>
      </c>
      <c r="D51" t="inlineStr">
        <is>
          <t>서면</t>
        </is>
      </c>
      <c r="E51" t="inlineStr">
        <is>
          <t>없음</t>
        </is>
      </c>
      <c r="F51" t="inlineStr">
        <is>
          <t>특이사항 없음</t>
        </is>
      </c>
      <c r="G51" t="inlineStr">
        <is>
          <t>종결</t>
        </is>
      </c>
      <c r="H51" t="inlineStr">
        <is>
          <t>담당1</t>
        </is>
      </c>
      <c r="I51" t="inlineStr">
        <is>
          <t>모의 기록</t>
        </is>
      </c>
    </row>
    <row r="52" ht="21" customHeight="1" s="26">
      <c r="A52" t="inlineStr">
        <is>
          <t>CHK-0051</t>
        </is>
      </c>
      <c r="B52" t="inlineStr">
        <is>
          <t>EXA-0051</t>
        </is>
      </c>
      <c r="C52" t="inlineStr">
        <is>
          <t>2023-05-07</t>
        </is>
      </c>
      <c r="D52" t="inlineStr">
        <is>
          <t>정기</t>
        </is>
      </c>
      <c r="E52" t="inlineStr">
        <is>
          <t>없음</t>
        </is>
      </c>
      <c r="F52" t="inlineStr">
        <is>
          <t>특이사항 없음</t>
        </is>
      </c>
      <c r="G52" t="inlineStr">
        <is>
          <t>종결</t>
        </is>
      </c>
      <c r="H52" t="inlineStr">
        <is>
          <t>담당3</t>
        </is>
      </c>
      <c r="I52" t="inlineStr">
        <is>
          <t>모의 기록</t>
        </is>
      </c>
    </row>
    <row r="53" ht="21" customHeight="1" s="26">
      <c r="A53" t="inlineStr">
        <is>
          <t>CHK-0052</t>
        </is>
      </c>
      <c r="B53" t="inlineStr">
        <is>
          <t>EXA-0052</t>
        </is>
      </c>
      <c r="C53" t="inlineStr">
        <is>
          <t>2024-12-09</t>
        </is>
      </c>
      <c r="D53" t="inlineStr">
        <is>
          <t>정기</t>
        </is>
      </c>
      <c r="E53" t="inlineStr">
        <is>
          <t>경미</t>
        </is>
      </c>
      <c r="F53" t="inlineStr">
        <is>
          <t>경미사항 보완요청</t>
        </is>
      </c>
      <c r="G53" t="inlineStr">
        <is>
          <t>조치중</t>
        </is>
      </c>
      <c r="H53" t="inlineStr">
        <is>
          <t>담당2</t>
        </is>
      </c>
      <c r="I53" t="inlineStr">
        <is>
          <t>모의 기록</t>
        </is>
      </c>
    </row>
    <row r="54" ht="21" customHeight="1" s="26">
      <c r="A54" t="inlineStr">
        <is>
          <t>CHK-0053</t>
        </is>
      </c>
      <c r="B54" t="inlineStr">
        <is>
          <t>EXA-0053</t>
        </is>
      </c>
      <c r="C54" t="inlineStr">
        <is>
          <t>2021-08-26</t>
        </is>
      </c>
      <c r="D54" t="inlineStr">
        <is>
          <t>정기</t>
        </is>
      </c>
      <c r="E54" t="inlineStr">
        <is>
          <t>없음</t>
        </is>
      </c>
      <c r="F54" t="inlineStr">
        <is>
          <t>특이사항 없음</t>
        </is>
      </c>
      <c r="G54" t="inlineStr">
        <is>
          <t>종결</t>
        </is>
      </c>
      <c r="H54" t="inlineStr">
        <is>
          <t>담당4</t>
        </is>
      </c>
      <c r="I54" t="inlineStr">
        <is>
          <t>모의 기록</t>
        </is>
      </c>
    </row>
    <row r="55" ht="21" customHeight="1" s="26">
      <c r="A55" t="inlineStr">
        <is>
          <t>CHK-0054</t>
        </is>
      </c>
      <c r="B55" t="inlineStr">
        <is>
          <t>EXA-0054</t>
        </is>
      </c>
      <c r="C55" t="inlineStr">
        <is>
          <t>2026-01-20</t>
        </is>
      </c>
      <c r="D55" t="inlineStr">
        <is>
          <t>서면</t>
        </is>
      </c>
      <c r="E55" t="inlineStr">
        <is>
          <t>경미</t>
        </is>
      </c>
      <c r="F55" t="inlineStr">
        <is>
          <t>경미사항 보완요청</t>
        </is>
      </c>
      <c r="G55" t="inlineStr">
        <is>
          <t>보완완료</t>
        </is>
      </c>
      <c r="H55" t="inlineStr">
        <is>
          <t>담당4</t>
        </is>
      </c>
      <c r="I55" t="inlineStr">
        <is>
          <t>모의 기록</t>
        </is>
      </c>
    </row>
    <row r="56" ht="21" customHeight="1" s="26">
      <c r="A56" t="inlineStr">
        <is>
          <t>CHK-0055</t>
        </is>
      </c>
      <c r="B56" t="inlineStr">
        <is>
          <t>EXA-0055</t>
        </is>
      </c>
      <c r="C56" t="inlineStr">
        <is>
          <t>2021-01-18</t>
        </is>
      </c>
      <c r="D56" t="inlineStr">
        <is>
          <t>정기</t>
        </is>
      </c>
      <c r="E56" t="inlineStr">
        <is>
          <t>중대</t>
        </is>
      </c>
      <c r="F56" t="inlineStr">
        <is>
          <t>추가 검토 필요</t>
        </is>
      </c>
      <c r="G56" t="inlineStr">
        <is>
          <t>보완완료</t>
        </is>
      </c>
      <c r="H56" t="inlineStr">
        <is>
          <t>담당1</t>
        </is>
      </c>
      <c r="I56" t="inlineStr">
        <is>
          <t>모의 기록</t>
        </is>
      </c>
    </row>
    <row r="57" ht="21" customHeight="1" s="26">
      <c r="A57" t="inlineStr">
        <is>
          <t>CHK-0056</t>
        </is>
      </c>
      <c r="B57" t="inlineStr">
        <is>
          <t>EXA-0056</t>
        </is>
      </c>
      <c r="C57" t="inlineStr">
        <is>
          <t>2021-07-23</t>
        </is>
      </c>
      <c r="D57" t="inlineStr">
        <is>
          <t>수시</t>
        </is>
      </c>
      <c r="E57" t="inlineStr">
        <is>
          <t>없음</t>
        </is>
      </c>
      <c r="F57" t="inlineStr">
        <is>
          <t>특이사항 없음</t>
        </is>
      </c>
      <c r="G57" t="inlineStr">
        <is>
          <t>종결</t>
        </is>
      </c>
      <c r="H57" t="inlineStr">
        <is>
          <t>담당2</t>
        </is>
      </c>
      <c r="I57" t="inlineStr">
        <is>
          <t>모의 기록</t>
        </is>
      </c>
    </row>
    <row r="58" ht="21" customHeight="1" s="26">
      <c r="A58" t="inlineStr">
        <is>
          <t>CHK-0057</t>
        </is>
      </c>
      <c r="B58" t="inlineStr">
        <is>
          <t>EXA-0057</t>
        </is>
      </c>
      <c r="C58" t="inlineStr">
        <is>
          <t>2025-07-01</t>
        </is>
      </c>
      <c r="D58" t="inlineStr">
        <is>
          <t>정기</t>
        </is>
      </c>
      <c r="E58" t="inlineStr">
        <is>
          <t>없음</t>
        </is>
      </c>
      <c r="F58" t="inlineStr">
        <is>
          <t>특이사항 없음</t>
        </is>
      </c>
      <c r="G58" t="inlineStr">
        <is>
          <t>종결</t>
        </is>
      </c>
      <c r="H58" t="inlineStr">
        <is>
          <t>담당2</t>
        </is>
      </c>
      <c r="I58" t="inlineStr">
        <is>
          <t>모의 기록</t>
        </is>
      </c>
    </row>
    <row r="59" ht="21" customHeight="1" s="26">
      <c r="A59" t="inlineStr">
        <is>
          <t>CHK-0058</t>
        </is>
      </c>
      <c r="B59" t="inlineStr">
        <is>
          <t>EXA-0058</t>
        </is>
      </c>
      <c r="C59" t="inlineStr">
        <is>
          <t>2021-10-29</t>
        </is>
      </c>
      <c r="D59" t="inlineStr">
        <is>
          <t>서면</t>
        </is>
      </c>
      <c r="E59" t="inlineStr">
        <is>
          <t>없음</t>
        </is>
      </c>
      <c r="F59" t="inlineStr">
        <is>
          <t>특이사항 없음</t>
        </is>
      </c>
      <c r="G59" t="inlineStr">
        <is>
          <t>종결</t>
        </is>
      </c>
      <c r="H59" t="inlineStr">
        <is>
          <t>담당1</t>
        </is>
      </c>
      <c r="I59" t="inlineStr">
        <is>
          <t>모의 기록</t>
        </is>
      </c>
    </row>
    <row r="60" ht="21" customHeight="1" s="26">
      <c r="A60" t="inlineStr">
        <is>
          <t>CHK-0059</t>
        </is>
      </c>
      <c r="B60" t="inlineStr">
        <is>
          <t>EXA-0059</t>
        </is>
      </c>
      <c r="C60" t="inlineStr">
        <is>
          <t>2025-11-20</t>
        </is>
      </c>
      <c r="D60" t="inlineStr">
        <is>
          <t>정기</t>
        </is>
      </c>
      <c r="E60" t="inlineStr">
        <is>
          <t>중대</t>
        </is>
      </c>
      <c r="F60" t="inlineStr">
        <is>
          <t>추가 검토 필요</t>
        </is>
      </c>
      <c r="G60" t="inlineStr">
        <is>
          <t>추가확인</t>
        </is>
      </c>
      <c r="H60" t="inlineStr">
        <is>
          <t>담당2</t>
        </is>
      </c>
      <c r="I60" t="inlineStr">
        <is>
          <t>모의 기록</t>
        </is>
      </c>
    </row>
    <row r="61" ht="21" customHeight="1" s="26">
      <c r="A61" t="inlineStr">
        <is>
          <t>CHK-0060</t>
        </is>
      </c>
      <c r="B61" t="inlineStr">
        <is>
          <t>EXA-0060</t>
        </is>
      </c>
      <c r="C61" t="inlineStr">
        <is>
          <t>2025-12-08</t>
        </is>
      </c>
      <c r="D61" t="inlineStr">
        <is>
          <t>서면</t>
        </is>
      </c>
      <c r="E61" t="inlineStr">
        <is>
          <t>없음</t>
        </is>
      </c>
      <c r="F61" t="inlineStr">
        <is>
          <t>특이사항 없음</t>
        </is>
      </c>
      <c r="G61" t="inlineStr">
        <is>
          <t>종결</t>
        </is>
      </c>
      <c r="H61" t="inlineStr">
        <is>
          <t>담당3</t>
        </is>
      </c>
      <c r="I61" t="inlineStr">
        <is>
          <t>모의 기록</t>
        </is>
      </c>
    </row>
    <row r="62" ht="21" customHeight="1" s="26">
      <c r="A62" t="inlineStr">
        <is>
          <t>CHK-0061</t>
        </is>
      </c>
      <c r="B62" t="inlineStr">
        <is>
          <t>EXA-0061</t>
        </is>
      </c>
      <c r="C62" t="inlineStr">
        <is>
          <t>2021-05-30</t>
        </is>
      </c>
      <c r="D62" t="inlineStr">
        <is>
          <t>수시</t>
        </is>
      </c>
      <c r="E62" t="inlineStr">
        <is>
          <t>경미</t>
        </is>
      </c>
      <c r="F62" t="inlineStr">
        <is>
          <t>경미사항 보완요청</t>
        </is>
      </c>
      <c r="G62" t="inlineStr">
        <is>
          <t>보완완료</t>
        </is>
      </c>
      <c r="H62" t="inlineStr">
        <is>
          <t>담당1</t>
        </is>
      </c>
      <c r="I62" t="inlineStr">
        <is>
          <t>모의 기록</t>
        </is>
      </c>
    </row>
    <row r="63" ht="21" customHeight="1" s="26">
      <c r="A63" t="inlineStr">
        <is>
          <t>CHK-0062</t>
        </is>
      </c>
      <c r="B63" t="inlineStr">
        <is>
          <t>EXA-0062</t>
        </is>
      </c>
      <c r="C63" t="inlineStr">
        <is>
          <t>2025-01-04</t>
        </is>
      </c>
      <c r="D63" t="inlineStr">
        <is>
          <t>정기</t>
        </is>
      </c>
      <c r="E63" t="inlineStr">
        <is>
          <t>없음</t>
        </is>
      </c>
      <c r="F63" t="inlineStr">
        <is>
          <t>특이사항 없음</t>
        </is>
      </c>
      <c r="G63" t="inlineStr">
        <is>
          <t>종결</t>
        </is>
      </c>
      <c r="H63" t="inlineStr">
        <is>
          <t>담당2</t>
        </is>
      </c>
      <c r="I63" t="inlineStr">
        <is>
          <t>모의 기록</t>
        </is>
      </c>
    </row>
    <row r="64" ht="21" customHeight="1" s="26">
      <c r="A64" t="inlineStr">
        <is>
          <t>CHK-0063</t>
        </is>
      </c>
      <c r="B64" t="inlineStr">
        <is>
          <t>EXA-0063</t>
        </is>
      </c>
      <c r="C64" t="inlineStr">
        <is>
          <t>2024-12-03</t>
        </is>
      </c>
      <c r="D64" t="inlineStr">
        <is>
          <t>서면</t>
        </is>
      </c>
      <c r="E64" t="inlineStr">
        <is>
          <t>없음</t>
        </is>
      </c>
      <c r="F64" t="inlineStr">
        <is>
          <t>특이사항 없음</t>
        </is>
      </c>
      <c r="G64" t="inlineStr">
        <is>
          <t>종결</t>
        </is>
      </c>
      <c r="H64" t="inlineStr">
        <is>
          <t>담당3</t>
        </is>
      </c>
      <c r="I64" t="inlineStr">
        <is>
          <t>모의 기록</t>
        </is>
      </c>
    </row>
    <row r="65" ht="21" customHeight="1" s="26">
      <c r="A65" t="inlineStr">
        <is>
          <t>CHK-0064</t>
        </is>
      </c>
      <c r="B65" t="inlineStr">
        <is>
          <t>EXA-0064</t>
        </is>
      </c>
      <c r="C65" t="inlineStr">
        <is>
          <t>2022-11-08</t>
        </is>
      </c>
      <c r="D65" t="inlineStr">
        <is>
          <t>수시</t>
        </is>
      </c>
      <c r="E65" t="inlineStr">
        <is>
          <t>경미</t>
        </is>
      </c>
      <c r="F65" t="inlineStr">
        <is>
          <t>경미사항 보완요청</t>
        </is>
      </c>
      <c r="G65" t="inlineStr">
        <is>
          <t>보완완료</t>
        </is>
      </c>
      <c r="H65" t="inlineStr">
        <is>
          <t>담당2</t>
        </is>
      </c>
      <c r="I65" t="inlineStr">
        <is>
          <t>모의 기록</t>
        </is>
      </c>
    </row>
    <row r="66" ht="21" customHeight="1" s="26">
      <c r="A66" t="inlineStr">
        <is>
          <t>CHK-0065</t>
        </is>
      </c>
      <c r="B66" t="inlineStr">
        <is>
          <t>EXA-0065</t>
        </is>
      </c>
      <c r="C66" t="inlineStr">
        <is>
          <t>2024-07-26</t>
        </is>
      </c>
      <c r="D66" t="inlineStr">
        <is>
          <t>정기</t>
        </is>
      </c>
      <c r="E66" t="inlineStr">
        <is>
          <t>없음</t>
        </is>
      </c>
      <c r="F66" t="inlineStr">
        <is>
          <t>특이사항 없음</t>
        </is>
      </c>
      <c r="G66" t="inlineStr">
        <is>
          <t>종결</t>
        </is>
      </c>
      <c r="H66" t="inlineStr">
        <is>
          <t>담당2</t>
        </is>
      </c>
      <c r="I66" t="inlineStr">
        <is>
          <t>모의 기록</t>
        </is>
      </c>
    </row>
    <row r="67" ht="21" customHeight="1" s="26">
      <c r="A67" t="inlineStr">
        <is>
          <t>CHK-0066</t>
        </is>
      </c>
      <c r="B67" t="inlineStr">
        <is>
          <t>EXA-0066</t>
        </is>
      </c>
      <c r="C67" t="inlineStr">
        <is>
          <t>2026-08-20</t>
        </is>
      </c>
      <c r="D67" t="inlineStr">
        <is>
          <t>정기</t>
        </is>
      </c>
      <c r="E67" t="inlineStr">
        <is>
          <t>없음</t>
        </is>
      </c>
      <c r="F67" t="inlineStr">
        <is>
          <t>특이사항 없음</t>
        </is>
      </c>
      <c r="G67" t="inlineStr">
        <is>
          <t>종결</t>
        </is>
      </c>
      <c r="H67" t="inlineStr">
        <is>
          <t>담당4</t>
        </is>
      </c>
      <c r="I67" t="inlineStr">
        <is>
          <t>모의 기록</t>
        </is>
      </c>
    </row>
    <row r="68" ht="21" customHeight="1" s="26">
      <c r="A68" t="inlineStr">
        <is>
          <t>CHK-0067</t>
        </is>
      </c>
      <c r="B68" t="inlineStr">
        <is>
          <t>EXA-0067</t>
        </is>
      </c>
      <c r="C68" t="inlineStr">
        <is>
          <t>2026-09-18</t>
        </is>
      </c>
      <c r="D68" t="inlineStr">
        <is>
          <t>수시</t>
        </is>
      </c>
      <c r="E68" t="inlineStr">
        <is>
          <t>경미</t>
        </is>
      </c>
      <c r="F68" t="inlineStr">
        <is>
          <t>경미사항 보완요청</t>
        </is>
      </c>
      <c r="G68" t="inlineStr">
        <is>
          <t>조치중</t>
        </is>
      </c>
      <c r="H68" t="inlineStr">
        <is>
          <t>담당2</t>
        </is>
      </c>
      <c r="I68" t="inlineStr">
        <is>
          <t>모의 기록</t>
        </is>
      </c>
    </row>
    <row r="69" ht="21" customHeight="1" s="26">
      <c r="A69" t="inlineStr">
        <is>
          <t>CHK-0068</t>
        </is>
      </c>
      <c r="B69" t="inlineStr">
        <is>
          <t>EXA-0068</t>
        </is>
      </c>
      <c r="C69" t="inlineStr">
        <is>
          <t>2024-07-01</t>
        </is>
      </c>
      <c r="D69" t="inlineStr">
        <is>
          <t>수시</t>
        </is>
      </c>
      <c r="E69" t="inlineStr">
        <is>
          <t>경미</t>
        </is>
      </c>
      <c r="F69" t="inlineStr">
        <is>
          <t>경미사항 보완요청</t>
        </is>
      </c>
      <c r="G69" t="inlineStr">
        <is>
          <t>조치중</t>
        </is>
      </c>
      <c r="H69" t="inlineStr">
        <is>
          <t>담당4</t>
        </is>
      </c>
      <c r="I69" t="inlineStr">
        <is>
          <t>모의 기록</t>
        </is>
      </c>
    </row>
    <row r="70" ht="21" customHeight="1" s="26">
      <c r="A70" t="inlineStr">
        <is>
          <t>CHK-0069</t>
        </is>
      </c>
      <c r="B70" t="inlineStr">
        <is>
          <t>EXA-0069</t>
        </is>
      </c>
      <c r="C70" t="inlineStr">
        <is>
          <t>2022-07-27</t>
        </is>
      </c>
      <c r="D70" t="inlineStr">
        <is>
          <t>수시</t>
        </is>
      </c>
      <c r="E70" t="inlineStr">
        <is>
          <t>없음</t>
        </is>
      </c>
      <c r="F70" t="inlineStr">
        <is>
          <t>특이사항 없음</t>
        </is>
      </c>
      <c r="G70" t="inlineStr">
        <is>
          <t>종결</t>
        </is>
      </c>
      <c r="H70" t="inlineStr">
        <is>
          <t>담당1</t>
        </is>
      </c>
      <c r="I70" t="inlineStr">
        <is>
          <t>모의 기록</t>
        </is>
      </c>
    </row>
    <row r="71" ht="21" customHeight="1" s="26">
      <c r="A71" t="inlineStr">
        <is>
          <t>CHK-0070</t>
        </is>
      </c>
      <c r="B71" t="inlineStr">
        <is>
          <t>EXA-0070</t>
        </is>
      </c>
      <c r="C71" t="inlineStr">
        <is>
          <t>2026-09-19</t>
        </is>
      </c>
      <c r="D71" t="inlineStr">
        <is>
          <t>서면</t>
        </is>
      </c>
      <c r="E71" t="inlineStr">
        <is>
          <t>중대</t>
        </is>
      </c>
      <c r="F71" t="inlineStr">
        <is>
          <t>추가 검토 필요</t>
        </is>
      </c>
      <c r="G71" t="inlineStr">
        <is>
          <t>조치중</t>
        </is>
      </c>
      <c r="H71" t="inlineStr">
        <is>
          <t>담당4</t>
        </is>
      </c>
      <c r="I71" t="inlineStr">
        <is>
          <t>모의 기록</t>
        </is>
      </c>
    </row>
    <row r="72" ht="21" customHeight="1" s="26">
      <c r="A72" t="inlineStr">
        <is>
          <t>CHK-0071</t>
        </is>
      </c>
      <c r="B72" t="inlineStr">
        <is>
          <t>EXA-0071</t>
        </is>
      </c>
      <c r="C72" t="inlineStr">
        <is>
          <t>2023-09-18</t>
        </is>
      </c>
      <c r="D72" t="inlineStr">
        <is>
          <t>정기</t>
        </is>
      </c>
      <c r="E72" t="inlineStr">
        <is>
          <t>경미</t>
        </is>
      </c>
      <c r="F72" t="inlineStr">
        <is>
          <t>경미사항 보완요청</t>
        </is>
      </c>
      <c r="G72" t="inlineStr">
        <is>
          <t>보완완료</t>
        </is>
      </c>
      <c r="H72" t="inlineStr">
        <is>
          <t>담당3</t>
        </is>
      </c>
      <c r="I72" t="inlineStr">
        <is>
          <t>모의 기록</t>
        </is>
      </c>
    </row>
    <row r="73" ht="21" customHeight="1" s="26">
      <c r="A73" t="inlineStr">
        <is>
          <t>CHK-0072</t>
        </is>
      </c>
      <c r="B73" t="inlineStr">
        <is>
          <t>EXA-0072</t>
        </is>
      </c>
      <c r="C73" t="inlineStr">
        <is>
          <t>2022-08-17</t>
        </is>
      </c>
      <c r="D73" t="inlineStr">
        <is>
          <t>정기</t>
        </is>
      </c>
      <c r="E73" t="inlineStr">
        <is>
          <t>없음</t>
        </is>
      </c>
      <c r="F73" t="inlineStr">
        <is>
          <t>특이사항 없음</t>
        </is>
      </c>
      <c r="G73" t="inlineStr">
        <is>
          <t>종결</t>
        </is>
      </c>
      <c r="H73" t="inlineStr">
        <is>
          <t>담당4</t>
        </is>
      </c>
      <c r="I73" t="inlineStr">
        <is>
          <t>모의 기록</t>
        </is>
      </c>
    </row>
    <row r="74" ht="21" customHeight="1" s="26">
      <c r="A74" t="inlineStr">
        <is>
          <t>CHK-0073</t>
        </is>
      </c>
      <c r="B74" t="inlineStr">
        <is>
          <t>EXA-0073</t>
        </is>
      </c>
      <c r="C74" t="inlineStr">
        <is>
          <t>2025-12-19</t>
        </is>
      </c>
      <c r="D74" t="inlineStr">
        <is>
          <t>정기</t>
        </is>
      </c>
      <c r="E74" t="inlineStr">
        <is>
          <t>없음</t>
        </is>
      </c>
      <c r="F74" t="inlineStr">
        <is>
          <t>특이사항 없음</t>
        </is>
      </c>
      <c r="G74" t="inlineStr">
        <is>
          <t>종결</t>
        </is>
      </c>
      <c r="H74" t="inlineStr">
        <is>
          <t>담당4</t>
        </is>
      </c>
      <c r="I74" t="inlineStr">
        <is>
          <t>모의 기록</t>
        </is>
      </c>
    </row>
    <row r="75" ht="21" customHeight="1" s="26">
      <c r="A75" t="inlineStr">
        <is>
          <t>CHK-0074</t>
        </is>
      </c>
      <c r="B75" t="inlineStr">
        <is>
          <t>EXA-0074</t>
        </is>
      </c>
      <c r="C75" t="inlineStr">
        <is>
          <t>2023-05-06</t>
        </is>
      </c>
      <c r="D75" t="inlineStr">
        <is>
          <t>수시</t>
        </is>
      </c>
      <c r="E75" t="inlineStr">
        <is>
          <t>없음</t>
        </is>
      </c>
      <c r="F75" t="inlineStr">
        <is>
          <t>특이사항 없음</t>
        </is>
      </c>
      <c r="G75" t="inlineStr">
        <is>
          <t>종결</t>
        </is>
      </c>
      <c r="H75" t="inlineStr">
        <is>
          <t>담당4</t>
        </is>
      </c>
      <c r="I75" t="inlineStr">
        <is>
          <t>모의 기록</t>
        </is>
      </c>
    </row>
    <row r="76" ht="21" customHeight="1" s="26">
      <c r="A76" t="inlineStr">
        <is>
          <t>CHK-0075</t>
        </is>
      </c>
      <c r="B76" t="inlineStr">
        <is>
          <t>EXA-0075</t>
        </is>
      </c>
      <c r="C76" t="inlineStr">
        <is>
          <t>2026-02-10</t>
        </is>
      </c>
      <c r="D76" t="inlineStr">
        <is>
          <t>서면</t>
        </is>
      </c>
      <c r="E76" t="inlineStr">
        <is>
          <t>없음</t>
        </is>
      </c>
      <c r="F76" t="inlineStr">
        <is>
          <t>특이사항 없음</t>
        </is>
      </c>
      <c r="G76" t="inlineStr">
        <is>
          <t>종결</t>
        </is>
      </c>
      <c r="H76" t="inlineStr">
        <is>
          <t>담당2</t>
        </is>
      </c>
      <c r="I76" t="inlineStr">
        <is>
          <t>모의 기록</t>
        </is>
      </c>
    </row>
    <row r="77" ht="21" customHeight="1" s="26">
      <c r="A77" t="inlineStr">
        <is>
          <t>CHK-0076</t>
        </is>
      </c>
      <c r="B77" t="inlineStr">
        <is>
          <t>EXA-0076</t>
        </is>
      </c>
      <c r="C77" t="inlineStr">
        <is>
          <t>2021-07-19</t>
        </is>
      </c>
      <c r="D77" t="inlineStr">
        <is>
          <t>서면</t>
        </is>
      </c>
      <c r="E77" t="inlineStr">
        <is>
          <t>경미</t>
        </is>
      </c>
      <c r="F77" t="inlineStr">
        <is>
          <t>경미사항 보완요청</t>
        </is>
      </c>
      <c r="G77" t="inlineStr">
        <is>
          <t>추가확인</t>
        </is>
      </c>
      <c r="H77" t="inlineStr">
        <is>
          <t>담당4</t>
        </is>
      </c>
      <c r="I77" t="inlineStr">
        <is>
          <t>모의 기록</t>
        </is>
      </c>
    </row>
    <row r="78" ht="21" customHeight="1" s="26">
      <c r="A78" t="inlineStr">
        <is>
          <t>CHK-0077</t>
        </is>
      </c>
      <c r="B78" t="inlineStr">
        <is>
          <t>EXA-0077</t>
        </is>
      </c>
      <c r="C78" t="inlineStr">
        <is>
          <t>2024-11-05</t>
        </is>
      </c>
      <c r="D78" t="inlineStr">
        <is>
          <t>정기</t>
        </is>
      </c>
      <c r="E78" t="inlineStr">
        <is>
          <t>없음</t>
        </is>
      </c>
      <c r="F78" t="inlineStr">
        <is>
          <t>특이사항 없음</t>
        </is>
      </c>
      <c r="G78" t="inlineStr">
        <is>
          <t>종결</t>
        </is>
      </c>
      <c r="H78" t="inlineStr">
        <is>
          <t>담당1</t>
        </is>
      </c>
      <c r="I78" t="inlineStr">
        <is>
          <t>모의 기록</t>
        </is>
      </c>
    </row>
    <row r="79" ht="21" customHeight="1" s="26">
      <c r="A79" t="inlineStr">
        <is>
          <t>CHK-0078</t>
        </is>
      </c>
      <c r="B79" t="inlineStr">
        <is>
          <t>EXA-0078</t>
        </is>
      </c>
      <c r="C79" t="inlineStr">
        <is>
          <t>2024-03-07</t>
        </is>
      </c>
      <c r="D79" t="inlineStr">
        <is>
          <t>수시</t>
        </is>
      </c>
      <c r="E79" t="inlineStr">
        <is>
          <t>없음</t>
        </is>
      </c>
      <c r="F79" t="inlineStr">
        <is>
          <t>특이사항 없음</t>
        </is>
      </c>
      <c r="G79" t="inlineStr">
        <is>
          <t>종결</t>
        </is>
      </c>
      <c r="H79" t="inlineStr">
        <is>
          <t>담당2</t>
        </is>
      </c>
      <c r="I79" t="inlineStr">
        <is>
          <t>모의 기록</t>
        </is>
      </c>
    </row>
    <row r="80" ht="21" customHeight="1" s="26">
      <c r="A80" t="inlineStr">
        <is>
          <t>CHK-0079</t>
        </is>
      </c>
      <c r="B80" t="inlineStr">
        <is>
          <t>EXA-0079</t>
        </is>
      </c>
      <c r="C80" t="inlineStr">
        <is>
          <t>2025-09-02</t>
        </is>
      </c>
      <c r="D80" t="inlineStr">
        <is>
          <t>정기</t>
        </is>
      </c>
      <c r="E80" t="inlineStr">
        <is>
          <t>없음</t>
        </is>
      </c>
      <c r="F80" t="inlineStr">
        <is>
          <t>특이사항 없음</t>
        </is>
      </c>
      <c r="G80" t="inlineStr">
        <is>
          <t>종결</t>
        </is>
      </c>
      <c r="H80" t="inlineStr">
        <is>
          <t>담당1</t>
        </is>
      </c>
      <c r="I80" t="inlineStr">
        <is>
          <t>모의 기록</t>
        </is>
      </c>
    </row>
    <row r="81" ht="21" customHeight="1" s="26">
      <c r="A81" t="inlineStr">
        <is>
          <t>CHK-0080</t>
        </is>
      </c>
      <c r="B81" t="inlineStr">
        <is>
          <t>EXA-0080</t>
        </is>
      </c>
      <c r="C81" t="inlineStr">
        <is>
          <t>2021-11-03</t>
        </is>
      </c>
      <c r="D81" t="inlineStr">
        <is>
          <t>수시</t>
        </is>
      </c>
      <c r="E81" t="inlineStr">
        <is>
          <t>없음</t>
        </is>
      </c>
      <c r="F81" t="inlineStr">
        <is>
          <t>특이사항 없음</t>
        </is>
      </c>
      <c r="G81" t="inlineStr">
        <is>
          <t>종결</t>
        </is>
      </c>
      <c r="H81" t="inlineStr">
        <is>
          <t>담당4</t>
        </is>
      </c>
      <c r="I81" t="inlineStr">
        <is>
          <t>모의 기록</t>
        </is>
      </c>
    </row>
    <row r="82" ht="21" customHeight="1" s="26">
      <c r="A82" t="inlineStr">
        <is>
          <t>CHK-0081</t>
        </is>
      </c>
      <c r="B82" t="inlineStr">
        <is>
          <t>EXA-0081</t>
        </is>
      </c>
      <c r="C82" t="inlineStr">
        <is>
          <t>2023-08-28</t>
        </is>
      </c>
      <c r="D82" t="inlineStr">
        <is>
          <t>정기</t>
        </is>
      </c>
      <c r="E82" t="inlineStr">
        <is>
          <t>없음</t>
        </is>
      </c>
      <c r="F82" t="inlineStr">
        <is>
          <t>특이사항 없음</t>
        </is>
      </c>
      <c r="G82" t="inlineStr">
        <is>
          <t>종결</t>
        </is>
      </c>
      <c r="H82" t="inlineStr">
        <is>
          <t>담당2</t>
        </is>
      </c>
      <c r="I82" t="inlineStr">
        <is>
          <t>모의 기록</t>
        </is>
      </c>
    </row>
    <row r="83" ht="21" customHeight="1" s="26">
      <c r="A83" t="inlineStr">
        <is>
          <t>CHK-0082</t>
        </is>
      </c>
      <c r="B83" t="inlineStr">
        <is>
          <t>EXA-0082</t>
        </is>
      </c>
      <c r="C83" t="inlineStr">
        <is>
          <t>2024-08-27</t>
        </is>
      </c>
      <c r="D83" t="inlineStr">
        <is>
          <t>정기</t>
        </is>
      </c>
      <c r="E83" t="inlineStr">
        <is>
          <t>없음</t>
        </is>
      </c>
      <c r="F83" t="inlineStr">
        <is>
          <t>특이사항 없음</t>
        </is>
      </c>
      <c r="G83" t="inlineStr">
        <is>
          <t>종결</t>
        </is>
      </c>
      <c r="H83" t="inlineStr">
        <is>
          <t>담당4</t>
        </is>
      </c>
      <c r="I83" t="inlineStr">
        <is>
          <t>모의 기록</t>
        </is>
      </c>
    </row>
    <row r="84" ht="21" customHeight="1" s="26">
      <c r="A84" t="inlineStr">
        <is>
          <t>CHK-0083</t>
        </is>
      </c>
      <c r="B84" t="inlineStr">
        <is>
          <t>EXA-0083</t>
        </is>
      </c>
      <c r="C84" t="inlineStr">
        <is>
          <t>2021-09-03</t>
        </is>
      </c>
      <c r="D84" t="inlineStr">
        <is>
          <t>정기</t>
        </is>
      </c>
      <c r="E84" t="inlineStr">
        <is>
          <t>없음</t>
        </is>
      </c>
      <c r="F84" t="inlineStr">
        <is>
          <t>특이사항 없음</t>
        </is>
      </c>
      <c r="G84" t="inlineStr">
        <is>
          <t>종결</t>
        </is>
      </c>
      <c r="H84" t="inlineStr">
        <is>
          <t>담당4</t>
        </is>
      </c>
      <c r="I84" t="inlineStr">
        <is>
          <t>모의 기록</t>
        </is>
      </c>
    </row>
    <row r="85" ht="21" customHeight="1" s="26">
      <c r="A85" t="inlineStr">
        <is>
          <t>CHK-0084</t>
        </is>
      </c>
      <c r="B85" t="inlineStr">
        <is>
          <t>EXA-0084</t>
        </is>
      </c>
      <c r="C85" t="inlineStr">
        <is>
          <t>2024-05-04</t>
        </is>
      </c>
      <c r="D85" t="inlineStr">
        <is>
          <t>수시</t>
        </is>
      </c>
      <c r="E85" t="inlineStr">
        <is>
          <t>경미</t>
        </is>
      </c>
      <c r="F85" t="inlineStr">
        <is>
          <t>경미사항 보완요청</t>
        </is>
      </c>
      <c r="G85" t="inlineStr">
        <is>
          <t>보완완료</t>
        </is>
      </c>
      <c r="H85" t="inlineStr">
        <is>
          <t>담당3</t>
        </is>
      </c>
      <c r="I85" t="inlineStr">
        <is>
          <t>모의 기록</t>
        </is>
      </c>
    </row>
    <row r="86" ht="21" customHeight="1" s="26">
      <c r="A86" t="inlineStr">
        <is>
          <t>CHK-0085</t>
        </is>
      </c>
      <c r="B86" t="inlineStr">
        <is>
          <t>EXA-0085</t>
        </is>
      </c>
      <c r="C86" t="inlineStr">
        <is>
          <t>2022-07-31</t>
        </is>
      </c>
      <c r="D86" t="inlineStr">
        <is>
          <t>서면</t>
        </is>
      </c>
      <c r="E86" t="inlineStr">
        <is>
          <t>없음</t>
        </is>
      </c>
      <c r="F86" t="inlineStr">
        <is>
          <t>특이사항 없음</t>
        </is>
      </c>
      <c r="G86" t="inlineStr">
        <is>
          <t>종결</t>
        </is>
      </c>
      <c r="H86" t="inlineStr">
        <is>
          <t>담당4</t>
        </is>
      </c>
      <c r="I86" t="inlineStr">
        <is>
          <t>모의 기록</t>
        </is>
      </c>
    </row>
    <row r="87" ht="21" customHeight="1" s="26">
      <c r="A87" t="inlineStr">
        <is>
          <t>CHK-0086</t>
        </is>
      </c>
      <c r="B87" t="inlineStr">
        <is>
          <t>EXA-0086</t>
        </is>
      </c>
      <c r="C87" t="inlineStr">
        <is>
          <t>2022-04-24</t>
        </is>
      </c>
      <c r="D87" t="inlineStr">
        <is>
          <t>수시</t>
        </is>
      </c>
      <c r="E87" t="inlineStr">
        <is>
          <t>없음</t>
        </is>
      </c>
      <c r="F87" t="inlineStr">
        <is>
          <t>특이사항 없음</t>
        </is>
      </c>
      <c r="G87" t="inlineStr">
        <is>
          <t>종결</t>
        </is>
      </c>
      <c r="H87" t="inlineStr">
        <is>
          <t>담당2</t>
        </is>
      </c>
      <c r="I87" t="inlineStr">
        <is>
          <t>모의 기록</t>
        </is>
      </c>
    </row>
    <row r="88" ht="21" customHeight="1" s="26">
      <c r="A88" t="inlineStr">
        <is>
          <t>CHK-0087</t>
        </is>
      </c>
      <c r="B88" t="inlineStr">
        <is>
          <t>EXA-0087</t>
        </is>
      </c>
      <c r="C88" t="inlineStr">
        <is>
          <t>2024-02-23</t>
        </is>
      </c>
      <c r="D88" t="inlineStr">
        <is>
          <t>서면</t>
        </is>
      </c>
      <c r="E88" t="inlineStr">
        <is>
          <t>중대</t>
        </is>
      </c>
      <c r="F88" t="inlineStr">
        <is>
          <t>추가 검토 필요</t>
        </is>
      </c>
      <c r="G88" t="inlineStr">
        <is>
          <t>추가확인</t>
        </is>
      </c>
      <c r="H88" t="inlineStr">
        <is>
          <t>담당2</t>
        </is>
      </c>
      <c r="I88" t="inlineStr">
        <is>
          <t>모의 기록</t>
        </is>
      </c>
    </row>
    <row r="89" ht="21" customHeight="1" s="26">
      <c r="A89" t="inlineStr">
        <is>
          <t>CHK-0088</t>
        </is>
      </c>
      <c r="B89" t="inlineStr">
        <is>
          <t>EXA-0088</t>
        </is>
      </c>
      <c r="C89" t="inlineStr">
        <is>
          <t>2021-12-17</t>
        </is>
      </c>
      <c r="D89" t="inlineStr">
        <is>
          <t>서면</t>
        </is>
      </c>
      <c r="E89" t="inlineStr">
        <is>
          <t>없음</t>
        </is>
      </c>
      <c r="F89" t="inlineStr">
        <is>
          <t>특이사항 없음</t>
        </is>
      </c>
      <c r="G89" t="inlineStr">
        <is>
          <t>종결</t>
        </is>
      </c>
      <c r="H89" t="inlineStr">
        <is>
          <t>담당1</t>
        </is>
      </c>
      <c r="I89" t="inlineStr">
        <is>
          <t>모의 기록</t>
        </is>
      </c>
    </row>
    <row r="90" ht="21" customHeight="1" s="26">
      <c r="A90" t="inlineStr">
        <is>
          <t>CHK-0089</t>
        </is>
      </c>
      <c r="B90" t="inlineStr">
        <is>
          <t>EXA-0089</t>
        </is>
      </c>
      <c r="C90" t="inlineStr">
        <is>
          <t>2025-09-27</t>
        </is>
      </c>
      <c r="D90" t="inlineStr">
        <is>
          <t>서면</t>
        </is>
      </c>
      <c r="E90" t="inlineStr">
        <is>
          <t>없음</t>
        </is>
      </c>
      <c r="F90" t="inlineStr">
        <is>
          <t>특이사항 없음</t>
        </is>
      </c>
      <c r="G90" t="inlineStr">
        <is>
          <t>종결</t>
        </is>
      </c>
      <c r="H90" t="inlineStr">
        <is>
          <t>담당3</t>
        </is>
      </c>
      <c r="I90" t="inlineStr">
        <is>
          <t>모의 기록</t>
        </is>
      </c>
    </row>
    <row r="91" ht="21" customHeight="1" s="26">
      <c r="A91" t="inlineStr">
        <is>
          <t>CHK-0090</t>
        </is>
      </c>
      <c r="B91" t="inlineStr">
        <is>
          <t>EXA-0090</t>
        </is>
      </c>
      <c r="C91" t="inlineStr">
        <is>
          <t>2024-03-16</t>
        </is>
      </c>
      <c r="D91" t="inlineStr">
        <is>
          <t>수시</t>
        </is>
      </c>
      <c r="E91" t="inlineStr">
        <is>
          <t>중대</t>
        </is>
      </c>
      <c r="F91" t="inlineStr">
        <is>
          <t>추가 검토 필요</t>
        </is>
      </c>
      <c r="G91" t="inlineStr">
        <is>
          <t>추가확인</t>
        </is>
      </c>
      <c r="H91" t="inlineStr">
        <is>
          <t>담당3</t>
        </is>
      </c>
      <c r="I91" t="inlineStr">
        <is>
          <t>모의 기록</t>
        </is>
      </c>
    </row>
    <row r="92" ht="21" customHeight="1" s="26">
      <c r="A92" t="inlineStr">
        <is>
          <t>CHK-0091</t>
        </is>
      </c>
      <c r="B92" t="inlineStr">
        <is>
          <t>EXA-0091</t>
        </is>
      </c>
      <c r="C92" t="inlineStr">
        <is>
          <t>2022-04-15</t>
        </is>
      </c>
      <c r="D92" t="inlineStr">
        <is>
          <t>정기</t>
        </is>
      </c>
      <c r="E92" t="inlineStr">
        <is>
          <t>없음</t>
        </is>
      </c>
      <c r="F92" t="inlineStr">
        <is>
          <t>특이사항 없음</t>
        </is>
      </c>
      <c r="G92" t="inlineStr">
        <is>
          <t>종결</t>
        </is>
      </c>
      <c r="H92" t="inlineStr">
        <is>
          <t>담당2</t>
        </is>
      </c>
      <c r="I92" t="inlineStr">
        <is>
          <t>모의 기록</t>
        </is>
      </c>
    </row>
    <row r="93" ht="21" customHeight="1" s="26">
      <c r="A93" t="inlineStr">
        <is>
          <t>CHK-0092</t>
        </is>
      </c>
      <c r="B93" t="inlineStr">
        <is>
          <t>EXA-0092</t>
        </is>
      </c>
      <c r="C93" t="inlineStr">
        <is>
          <t>2023-02-21</t>
        </is>
      </c>
      <c r="D93" t="inlineStr">
        <is>
          <t>정기</t>
        </is>
      </c>
      <c r="E93" t="inlineStr">
        <is>
          <t>없음</t>
        </is>
      </c>
      <c r="F93" t="inlineStr">
        <is>
          <t>특이사항 없음</t>
        </is>
      </c>
      <c r="G93" t="inlineStr">
        <is>
          <t>종결</t>
        </is>
      </c>
      <c r="H93" t="inlineStr">
        <is>
          <t>담당2</t>
        </is>
      </c>
      <c r="I93" t="inlineStr">
        <is>
          <t>모의 기록</t>
        </is>
      </c>
    </row>
    <row r="94" ht="21" customHeight="1" s="26">
      <c r="A94" t="inlineStr">
        <is>
          <t>CHK-0093</t>
        </is>
      </c>
      <c r="B94" t="inlineStr">
        <is>
          <t>EXA-0093</t>
        </is>
      </c>
      <c r="C94" t="inlineStr">
        <is>
          <t>2025-02-10</t>
        </is>
      </c>
      <c r="D94" t="inlineStr">
        <is>
          <t>서면</t>
        </is>
      </c>
      <c r="E94" t="inlineStr">
        <is>
          <t>없음</t>
        </is>
      </c>
      <c r="F94" t="inlineStr">
        <is>
          <t>특이사항 없음</t>
        </is>
      </c>
      <c r="G94" t="inlineStr">
        <is>
          <t>종결</t>
        </is>
      </c>
      <c r="H94" t="inlineStr">
        <is>
          <t>담당3</t>
        </is>
      </c>
      <c r="I94" t="inlineStr">
        <is>
          <t>모의 기록</t>
        </is>
      </c>
    </row>
    <row r="95" ht="21" customHeight="1" s="26">
      <c r="A95" t="inlineStr">
        <is>
          <t>CHK-0094</t>
        </is>
      </c>
      <c r="B95" t="inlineStr">
        <is>
          <t>EXA-0094</t>
        </is>
      </c>
      <c r="C95" t="inlineStr">
        <is>
          <t>2021-05-02</t>
        </is>
      </c>
      <c r="D95" t="inlineStr">
        <is>
          <t>서면</t>
        </is>
      </c>
      <c r="E95" t="inlineStr">
        <is>
          <t>없음</t>
        </is>
      </c>
      <c r="F95" t="inlineStr">
        <is>
          <t>특이사항 없음</t>
        </is>
      </c>
      <c r="G95" t="inlineStr">
        <is>
          <t>종결</t>
        </is>
      </c>
      <c r="H95" t="inlineStr">
        <is>
          <t>담당4</t>
        </is>
      </c>
      <c r="I95" t="inlineStr">
        <is>
          <t>모의 기록</t>
        </is>
      </c>
    </row>
    <row r="96" ht="21" customHeight="1" s="26">
      <c r="A96" t="inlineStr">
        <is>
          <t>CHK-0095</t>
        </is>
      </c>
      <c r="B96" t="inlineStr">
        <is>
          <t>EXA-0095</t>
        </is>
      </c>
      <c r="C96" t="inlineStr">
        <is>
          <t>2024-09-17</t>
        </is>
      </c>
      <c r="D96" t="inlineStr">
        <is>
          <t>수시</t>
        </is>
      </c>
      <c r="E96" t="inlineStr">
        <is>
          <t>없음</t>
        </is>
      </c>
      <c r="F96" t="inlineStr">
        <is>
          <t>특이사항 없음</t>
        </is>
      </c>
      <c r="G96" t="inlineStr">
        <is>
          <t>종결</t>
        </is>
      </c>
      <c r="H96" t="inlineStr">
        <is>
          <t>담당2</t>
        </is>
      </c>
      <c r="I96" t="inlineStr">
        <is>
          <t>모의 기록</t>
        </is>
      </c>
    </row>
    <row r="97" ht="21" customHeight="1" s="26">
      <c r="A97" t="inlineStr">
        <is>
          <t>CHK-0096</t>
        </is>
      </c>
      <c r="B97" t="inlineStr">
        <is>
          <t>EXA-0096</t>
        </is>
      </c>
      <c r="C97" t="inlineStr">
        <is>
          <t>2021-06-25</t>
        </is>
      </c>
      <c r="D97" t="inlineStr">
        <is>
          <t>서면</t>
        </is>
      </c>
      <c r="E97" t="inlineStr">
        <is>
          <t>없음</t>
        </is>
      </c>
      <c r="F97" t="inlineStr">
        <is>
          <t>특이사항 없음</t>
        </is>
      </c>
      <c r="G97" t="inlineStr">
        <is>
          <t>종결</t>
        </is>
      </c>
      <c r="H97" t="inlineStr">
        <is>
          <t>담당1</t>
        </is>
      </c>
      <c r="I97" t="inlineStr">
        <is>
          <t>모의 기록</t>
        </is>
      </c>
    </row>
    <row r="98" ht="21" customHeight="1" s="26">
      <c r="A98" t="inlineStr">
        <is>
          <t>CHK-0097</t>
        </is>
      </c>
      <c r="B98" t="inlineStr">
        <is>
          <t>EXA-0097</t>
        </is>
      </c>
      <c r="C98" t="inlineStr">
        <is>
          <t>2021-07-07</t>
        </is>
      </c>
      <c r="D98" t="inlineStr">
        <is>
          <t>정기</t>
        </is>
      </c>
      <c r="E98" t="inlineStr">
        <is>
          <t>없음</t>
        </is>
      </c>
      <c r="F98" t="inlineStr">
        <is>
          <t>특이사항 없음</t>
        </is>
      </c>
      <c r="G98" t="inlineStr">
        <is>
          <t>종결</t>
        </is>
      </c>
      <c r="H98" t="inlineStr">
        <is>
          <t>담당2</t>
        </is>
      </c>
      <c r="I98" t="inlineStr">
        <is>
          <t>모의 기록</t>
        </is>
      </c>
    </row>
    <row r="99" ht="21" customHeight="1" s="26">
      <c r="A99" t="inlineStr">
        <is>
          <t>CHK-0098</t>
        </is>
      </c>
      <c r="B99" t="inlineStr">
        <is>
          <t>EXA-0098</t>
        </is>
      </c>
      <c r="C99" t="inlineStr">
        <is>
          <t>2026-06-17</t>
        </is>
      </c>
      <c r="D99" t="inlineStr">
        <is>
          <t>정기</t>
        </is>
      </c>
      <c r="E99" t="inlineStr">
        <is>
          <t>없음</t>
        </is>
      </c>
      <c r="F99" t="inlineStr">
        <is>
          <t>특이사항 없음</t>
        </is>
      </c>
      <c r="G99" t="inlineStr">
        <is>
          <t>종결</t>
        </is>
      </c>
      <c r="H99" t="inlineStr">
        <is>
          <t>담당4</t>
        </is>
      </c>
      <c r="I99" t="inlineStr">
        <is>
          <t>모의 기록</t>
        </is>
      </c>
    </row>
    <row r="100" ht="21" customHeight="1" s="26">
      <c r="A100" t="inlineStr">
        <is>
          <t>CHK-0099</t>
        </is>
      </c>
      <c r="B100" t="inlineStr">
        <is>
          <t>EXA-0099</t>
        </is>
      </c>
      <c r="C100" t="inlineStr">
        <is>
          <t>2025-01-10</t>
        </is>
      </c>
      <c r="D100" t="inlineStr">
        <is>
          <t>수시</t>
        </is>
      </c>
      <c r="E100" t="inlineStr">
        <is>
          <t>없음</t>
        </is>
      </c>
      <c r="F100" t="inlineStr">
        <is>
          <t>특이사항 없음</t>
        </is>
      </c>
      <c r="G100" t="inlineStr">
        <is>
          <t>종결</t>
        </is>
      </c>
      <c r="H100" t="inlineStr">
        <is>
          <t>담당4</t>
        </is>
      </c>
      <c r="I100" t="inlineStr">
        <is>
          <t>모의 기록</t>
        </is>
      </c>
    </row>
    <row r="101" ht="21" customHeight="1" s="26">
      <c r="A101" t="inlineStr">
        <is>
          <t>CHK-0100</t>
        </is>
      </c>
      <c r="B101" t="inlineStr">
        <is>
          <t>EXA-0100</t>
        </is>
      </c>
      <c r="C101" t="inlineStr">
        <is>
          <t>2022-07-26</t>
        </is>
      </c>
      <c r="D101" t="inlineStr">
        <is>
          <t>수시</t>
        </is>
      </c>
      <c r="E101" t="inlineStr">
        <is>
          <t>경미</t>
        </is>
      </c>
      <c r="F101" t="inlineStr">
        <is>
          <t>경미사항 보완요청</t>
        </is>
      </c>
      <c r="G101" t="inlineStr">
        <is>
          <t>보완완료</t>
        </is>
      </c>
      <c r="H101" t="inlineStr">
        <is>
          <t>담당1</t>
        </is>
      </c>
      <c r="I101" t="inlineStr">
        <is>
          <t>모의 기록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26" min="1" max="1"/>
    <col width="30" customWidth="1" style="26" min="2" max="2"/>
    <col width="13" customWidth="1" style="26" min="3" max="3"/>
    <col width="20" customWidth="1" style="26" min="4" max="4"/>
    <col width="20" customWidth="1" style="26" min="5" max="5"/>
    <col width="15" customWidth="1" style="26" min="6" max="6"/>
    <col width="21" customWidth="1" style="26" min="7" max="7"/>
    <col width="21" customWidth="1" style="26" min="8" max="8"/>
    <col width="21" customWidth="1" style="26" min="9" max="9"/>
    <col width="23" customWidth="1" style="26" min="10" max="10"/>
    <col width="15" customWidth="1" style="26" min="11" max="11"/>
    <col width="16" customWidth="1" style="26" min="12" max="12"/>
    <col width="18" customWidth="1" style="26" min="13" max="13"/>
  </cols>
  <sheetData>
    <row r="1" ht="31" customHeight="1" s="26">
      <c r="A1" s="4" t="inlineStr">
        <is>
          <t>업체ID</t>
        </is>
      </c>
      <c r="B1" s="4" t="inlineStr">
        <is>
          <t>상호</t>
        </is>
      </c>
      <c r="C1" s="4" t="inlineStr">
        <is>
          <t>관할구</t>
        </is>
      </c>
      <c r="D1" s="4" t="inlineStr">
        <is>
          <t>2024 실적(만원)</t>
        </is>
      </c>
      <c r="E1" s="4" t="inlineStr">
        <is>
          <t>2025 실적(만원)</t>
        </is>
      </c>
      <c r="F1" s="4" t="inlineStr">
        <is>
          <t>증감률</t>
        </is>
      </c>
      <c r="G1" s="4" t="inlineStr">
        <is>
          <t>실적변동점수(최대30)</t>
        </is>
      </c>
      <c r="H1" s="4" t="inlineStr">
        <is>
          <t>점검경과점수(최대20)</t>
        </is>
      </c>
      <c r="I1" s="4" t="inlineStr">
        <is>
          <t>위반이력점수(최대30)</t>
        </is>
      </c>
      <c r="J1" s="4" t="inlineStr">
        <is>
          <t>휴폐업등점수(최대20)</t>
        </is>
      </c>
      <c r="K1" s="4" t="inlineStr">
        <is>
          <t>위험도합계</t>
        </is>
      </c>
      <c r="L1" s="4" t="inlineStr">
        <is>
          <t>위험등급</t>
        </is>
      </c>
      <c r="M1" s="4" t="inlineStr">
        <is>
          <t>평가의견</t>
        </is>
      </c>
    </row>
    <row r="2" ht="21" customHeight="1" s="26">
      <c r="A2">
        <f>업체현황!A2</f>
        <v/>
      </c>
      <c r="B2">
        <f>업체현황!B2</f>
        <v/>
      </c>
      <c r="C2">
        <f>업체현황!F2</f>
        <v/>
      </c>
      <c r="D2" s="31">
        <f>SUMIFS(연도별실적!$C$2:$C$401,연도별실적!$A$2:$A$401,A2,연도별실적!$B$2:$B$401,2024)</f>
        <v/>
      </c>
      <c r="E2" s="31">
        <f>SUMIFS(연도별실적!$C$2:$C$401,연도별실적!$A$2:$A$401,A2,연도별실적!$B$2:$B$401,2025)</f>
        <v/>
      </c>
      <c r="F2" s="32">
        <f>IF(D2=0,0,(E2-D2)/D2)</f>
        <v/>
      </c>
      <c r="G2">
        <f>IF(ABS(F2)&gt;=0.6,30,IF(ABS(F2)&gt;=0.35,20,IF(ABS(F2)&gt;=0.2,10,0)))</f>
        <v/>
      </c>
      <c r="H2">
        <f>IF(DATE(2026,10,23)-DATEVALUE(업체현황!O2)&gt;=1095,20,IF(DATE(2026,10,23)-DATEVALUE(업체현황!O2)&gt;=730,15,IF(DATE(2026,10,23)-DATEVALUE(업체현황!O2)&gt;=365,10,0)))</f>
        <v/>
      </c>
      <c r="I2">
        <f>IF(업체현황!P2="중대",30,IF(업체현황!P2="경미",15,0))</f>
        <v/>
      </c>
      <c r="J2">
        <f>IF(업체현황!L2="폐업",0,IF(업체현황!L2="휴업",10,0))</f>
        <v/>
      </c>
      <c r="K2">
        <f>SUM(G2:J2)</f>
        <v/>
      </c>
      <c r="L2">
        <f>IF(K2&gt;=70,"고위험",IF(K2&gt;=40,"주의","일반"))</f>
        <v/>
      </c>
      <c r="M2">
        <f>IF(K2&gt;=70,"우선 검토",IF(K2&gt;=40,"모니터링","정기관리"))</f>
        <v/>
      </c>
    </row>
    <row r="3" ht="21" customHeight="1" s="26">
      <c r="A3">
        <f>업체현황!A3</f>
        <v/>
      </c>
      <c r="B3">
        <f>업체현황!B3</f>
        <v/>
      </c>
      <c r="C3">
        <f>업체현황!F3</f>
        <v/>
      </c>
      <c r="D3" s="31">
        <f>SUMIFS(연도별실적!$C$2:$C$401,연도별실적!$A$2:$A$401,A3,연도별실적!$B$2:$B$401,2024)</f>
        <v/>
      </c>
      <c r="E3" s="31">
        <f>SUMIFS(연도별실적!$C$2:$C$401,연도별실적!$A$2:$A$401,A3,연도별실적!$B$2:$B$401,2025)</f>
        <v/>
      </c>
      <c r="F3" s="32">
        <f>IF(D3=0,0,(E3-D3)/D3)</f>
        <v/>
      </c>
      <c r="G3">
        <f>IF(ABS(F3)&gt;=0.6,30,IF(ABS(F3)&gt;=0.35,20,IF(ABS(F3)&gt;=0.2,10,0)))</f>
        <v/>
      </c>
      <c r="H3">
        <f>IF(DATE(2026,10,23)-DATEVALUE(업체현황!O3)&gt;=1095,20,IF(DATE(2026,10,23)-DATEVALUE(업체현황!O3)&gt;=730,15,IF(DATE(2026,10,23)-DATEVALUE(업체현황!O3)&gt;=365,10,0)))</f>
        <v/>
      </c>
      <c r="I3">
        <f>IF(업체현황!P3="중대",30,IF(업체현황!P3="경미",15,0))</f>
        <v/>
      </c>
      <c r="J3">
        <f>IF(업체현황!L3="폐업",0,IF(업체현황!L3="휴업",10,0))</f>
        <v/>
      </c>
      <c r="K3">
        <f>SUM(G3:J3)</f>
        <v/>
      </c>
      <c r="L3">
        <f>IF(K3&gt;=70,"고위험",IF(K3&gt;=40,"주의","일반"))</f>
        <v/>
      </c>
      <c r="M3">
        <f>IF(K3&gt;=70,"우선 검토",IF(K3&gt;=40,"모니터링","정기관리"))</f>
        <v/>
      </c>
    </row>
    <row r="4" ht="21" customHeight="1" s="26">
      <c r="A4">
        <f>업체현황!A4</f>
        <v/>
      </c>
      <c r="B4">
        <f>업체현황!B4</f>
        <v/>
      </c>
      <c r="C4">
        <f>업체현황!F4</f>
        <v/>
      </c>
      <c r="D4" s="31">
        <f>SUMIFS(연도별실적!$C$2:$C$401,연도별실적!$A$2:$A$401,A4,연도별실적!$B$2:$B$401,2024)</f>
        <v/>
      </c>
      <c r="E4" s="31">
        <f>SUMIFS(연도별실적!$C$2:$C$401,연도별실적!$A$2:$A$401,A4,연도별실적!$B$2:$B$401,2025)</f>
        <v/>
      </c>
      <c r="F4" s="32">
        <f>IF(D4=0,0,(E4-D4)/D4)</f>
        <v/>
      </c>
      <c r="G4">
        <f>IF(ABS(F4)&gt;=0.6,30,IF(ABS(F4)&gt;=0.35,20,IF(ABS(F4)&gt;=0.2,10,0)))</f>
        <v/>
      </c>
      <c r="H4">
        <f>IF(DATE(2026,10,23)-DATEVALUE(업체현황!O4)&gt;=1095,20,IF(DATE(2026,10,23)-DATEVALUE(업체현황!O4)&gt;=730,15,IF(DATE(2026,10,23)-DATEVALUE(업체현황!O4)&gt;=365,10,0)))</f>
        <v/>
      </c>
      <c r="I4">
        <f>IF(업체현황!P4="중대",30,IF(업체현황!P4="경미",15,0))</f>
        <v/>
      </c>
      <c r="J4">
        <f>IF(업체현황!L4="폐업",0,IF(업체현황!L4="휴업",10,0))</f>
        <v/>
      </c>
      <c r="K4">
        <f>SUM(G4:J4)</f>
        <v/>
      </c>
      <c r="L4">
        <f>IF(K4&gt;=70,"고위험",IF(K4&gt;=40,"주의","일반"))</f>
        <v/>
      </c>
      <c r="M4">
        <f>IF(K4&gt;=70,"우선 검토",IF(K4&gt;=40,"모니터링","정기관리"))</f>
        <v/>
      </c>
    </row>
    <row r="5" ht="21" customHeight="1" s="26">
      <c r="A5">
        <f>업체현황!A5</f>
        <v/>
      </c>
      <c r="B5">
        <f>업체현황!B5</f>
        <v/>
      </c>
      <c r="C5">
        <f>업체현황!F5</f>
        <v/>
      </c>
      <c r="D5" s="31">
        <f>SUMIFS(연도별실적!$C$2:$C$401,연도별실적!$A$2:$A$401,A5,연도별실적!$B$2:$B$401,2024)</f>
        <v/>
      </c>
      <c r="E5" s="31">
        <f>SUMIFS(연도별실적!$C$2:$C$401,연도별실적!$A$2:$A$401,A5,연도별실적!$B$2:$B$401,2025)</f>
        <v/>
      </c>
      <c r="F5" s="32">
        <f>IF(D5=0,0,(E5-D5)/D5)</f>
        <v/>
      </c>
      <c r="G5">
        <f>IF(ABS(F5)&gt;=0.6,30,IF(ABS(F5)&gt;=0.35,20,IF(ABS(F5)&gt;=0.2,10,0)))</f>
        <v/>
      </c>
      <c r="H5">
        <f>IF(DATE(2026,10,23)-DATEVALUE(업체현황!O5)&gt;=1095,20,IF(DATE(2026,10,23)-DATEVALUE(업체현황!O5)&gt;=730,15,IF(DATE(2026,10,23)-DATEVALUE(업체현황!O5)&gt;=365,10,0)))</f>
        <v/>
      </c>
      <c r="I5">
        <f>IF(업체현황!P5="중대",30,IF(업체현황!P5="경미",15,0))</f>
        <v/>
      </c>
      <c r="J5">
        <f>IF(업체현황!L5="폐업",0,IF(업체현황!L5="휴업",10,0))</f>
        <v/>
      </c>
      <c r="K5">
        <f>SUM(G5:J5)</f>
        <v/>
      </c>
      <c r="L5">
        <f>IF(K5&gt;=70,"고위험",IF(K5&gt;=40,"주의","일반"))</f>
        <v/>
      </c>
      <c r="M5">
        <f>IF(K5&gt;=70,"우선 검토",IF(K5&gt;=40,"모니터링","정기관리"))</f>
        <v/>
      </c>
    </row>
    <row r="6" ht="21" customHeight="1" s="26">
      <c r="A6">
        <f>업체현황!A6</f>
        <v/>
      </c>
      <c r="B6">
        <f>업체현황!B6</f>
        <v/>
      </c>
      <c r="C6">
        <f>업체현황!F6</f>
        <v/>
      </c>
      <c r="D6" s="31">
        <f>SUMIFS(연도별실적!$C$2:$C$401,연도별실적!$A$2:$A$401,A6,연도별실적!$B$2:$B$401,2024)</f>
        <v/>
      </c>
      <c r="E6" s="31">
        <f>SUMIFS(연도별실적!$C$2:$C$401,연도별실적!$A$2:$A$401,A6,연도별실적!$B$2:$B$401,2025)</f>
        <v/>
      </c>
      <c r="F6" s="32">
        <f>IF(D6=0,0,(E6-D6)/D6)</f>
        <v/>
      </c>
      <c r="G6">
        <f>IF(ABS(F6)&gt;=0.6,30,IF(ABS(F6)&gt;=0.35,20,IF(ABS(F6)&gt;=0.2,10,0)))</f>
        <v/>
      </c>
      <c r="H6">
        <f>IF(DATE(2026,10,23)-DATEVALUE(업체현황!O6)&gt;=1095,20,IF(DATE(2026,10,23)-DATEVALUE(업체현황!O6)&gt;=730,15,IF(DATE(2026,10,23)-DATEVALUE(업체현황!O6)&gt;=365,10,0)))</f>
        <v/>
      </c>
      <c r="I6">
        <f>IF(업체현황!P6="중대",30,IF(업체현황!P6="경미",15,0))</f>
        <v/>
      </c>
      <c r="J6">
        <f>IF(업체현황!L6="폐업",0,IF(업체현황!L6="휴업",10,0))</f>
        <v/>
      </c>
      <c r="K6">
        <f>SUM(G6:J6)</f>
        <v/>
      </c>
      <c r="L6">
        <f>IF(K6&gt;=70,"고위험",IF(K6&gt;=40,"주의","일반"))</f>
        <v/>
      </c>
      <c r="M6">
        <f>IF(K6&gt;=70,"우선 검토",IF(K6&gt;=40,"모니터링","정기관리"))</f>
        <v/>
      </c>
    </row>
    <row r="7" ht="21" customHeight="1" s="26">
      <c r="A7">
        <f>업체현황!A7</f>
        <v/>
      </c>
      <c r="B7">
        <f>업체현황!B7</f>
        <v/>
      </c>
      <c r="C7">
        <f>업체현황!F7</f>
        <v/>
      </c>
      <c r="D7" s="31">
        <f>SUMIFS(연도별실적!$C$2:$C$401,연도별실적!$A$2:$A$401,A7,연도별실적!$B$2:$B$401,2024)</f>
        <v/>
      </c>
      <c r="E7" s="31">
        <f>SUMIFS(연도별실적!$C$2:$C$401,연도별실적!$A$2:$A$401,A7,연도별실적!$B$2:$B$401,2025)</f>
        <v/>
      </c>
      <c r="F7" s="32">
        <f>IF(D7=0,0,(E7-D7)/D7)</f>
        <v/>
      </c>
      <c r="G7">
        <f>IF(ABS(F7)&gt;=0.6,30,IF(ABS(F7)&gt;=0.35,20,IF(ABS(F7)&gt;=0.2,10,0)))</f>
        <v/>
      </c>
      <c r="H7">
        <f>IF(DATE(2026,10,23)-DATEVALUE(업체현황!O7)&gt;=1095,20,IF(DATE(2026,10,23)-DATEVALUE(업체현황!O7)&gt;=730,15,IF(DATE(2026,10,23)-DATEVALUE(업체현황!O7)&gt;=365,10,0)))</f>
        <v/>
      </c>
      <c r="I7">
        <f>IF(업체현황!P7="중대",30,IF(업체현황!P7="경미",15,0))</f>
        <v/>
      </c>
      <c r="J7">
        <f>IF(업체현황!L7="폐업",0,IF(업체현황!L7="휴업",10,0))</f>
        <v/>
      </c>
      <c r="K7">
        <f>SUM(G7:J7)</f>
        <v/>
      </c>
      <c r="L7">
        <f>IF(K7&gt;=70,"고위험",IF(K7&gt;=40,"주의","일반"))</f>
        <v/>
      </c>
      <c r="M7">
        <f>IF(K7&gt;=70,"우선 검토",IF(K7&gt;=40,"모니터링","정기관리"))</f>
        <v/>
      </c>
    </row>
    <row r="8" ht="21" customHeight="1" s="26">
      <c r="A8">
        <f>업체현황!A8</f>
        <v/>
      </c>
      <c r="B8">
        <f>업체현황!B8</f>
        <v/>
      </c>
      <c r="C8">
        <f>업체현황!F8</f>
        <v/>
      </c>
      <c r="D8" s="31">
        <f>SUMIFS(연도별실적!$C$2:$C$401,연도별실적!$A$2:$A$401,A8,연도별실적!$B$2:$B$401,2024)</f>
        <v/>
      </c>
      <c r="E8" s="31">
        <f>SUMIFS(연도별실적!$C$2:$C$401,연도별실적!$A$2:$A$401,A8,연도별실적!$B$2:$B$401,2025)</f>
        <v/>
      </c>
      <c r="F8" s="32">
        <f>IF(D8=0,0,(E8-D8)/D8)</f>
        <v/>
      </c>
      <c r="G8">
        <f>IF(ABS(F8)&gt;=0.6,30,IF(ABS(F8)&gt;=0.35,20,IF(ABS(F8)&gt;=0.2,10,0)))</f>
        <v/>
      </c>
      <c r="H8">
        <f>IF(DATE(2026,10,23)-DATEVALUE(업체현황!O8)&gt;=1095,20,IF(DATE(2026,10,23)-DATEVALUE(업체현황!O8)&gt;=730,15,IF(DATE(2026,10,23)-DATEVALUE(업체현황!O8)&gt;=365,10,0)))</f>
        <v/>
      </c>
      <c r="I8">
        <f>IF(업체현황!P8="중대",30,IF(업체현황!P8="경미",15,0))</f>
        <v/>
      </c>
      <c r="J8">
        <f>IF(업체현황!L8="폐업",0,IF(업체현황!L8="휴업",10,0))</f>
        <v/>
      </c>
      <c r="K8">
        <f>SUM(G8:J8)</f>
        <v/>
      </c>
      <c r="L8">
        <f>IF(K8&gt;=70,"고위험",IF(K8&gt;=40,"주의","일반"))</f>
        <v/>
      </c>
      <c r="M8">
        <f>IF(K8&gt;=70,"우선 검토",IF(K8&gt;=40,"모니터링","정기관리"))</f>
        <v/>
      </c>
    </row>
    <row r="9" ht="21" customHeight="1" s="26">
      <c r="A9">
        <f>업체현황!A9</f>
        <v/>
      </c>
      <c r="B9">
        <f>업체현황!B9</f>
        <v/>
      </c>
      <c r="C9">
        <f>업체현황!F9</f>
        <v/>
      </c>
      <c r="D9" s="31">
        <f>SUMIFS(연도별실적!$C$2:$C$401,연도별실적!$A$2:$A$401,A9,연도별실적!$B$2:$B$401,2024)</f>
        <v/>
      </c>
      <c r="E9" s="31">
        <f>SUMIFS(연도별실적!$C$2:$C$401,연도별실적!$A$2:$A$401,A9,연도별실적!$B$2:$B$401,2025)</f>
        <v/>
      </c>
      <c r="F9" s="32">
        <f>IF(D9=0,0,(E9-D9)/D9)</f>
        <v/>
      </c>
      <c r="G9">
        <f>IF(ABS(F9)&gt;=0.6,30,IF(ABS(F9)&gt;=0.35,20,IF(ABS(F9)&gt;=0.2,10,0)))</f>
        <v/>
      </c>
      <c r="H9">
        <f>IF(DATE(2026,10,23)-DATEVALUE(업체현황!O9)&gt;=1095,20,IF(DATE(2026,10,23)-DATEVALUE(업체현황!O9)&gt;=730,15,IF(DATE(2026,10,23)-DATEVALUE(업체현황!O9)&gt;=365,10,0)))</f>
        <v/>
      </c>
      <c r="I9">
        <f>IF(업체현황!P9="중대",30,IF(업체현황!P9="경미",15,0))</f>
        <v/>
      </c>
      <c r="J9">
        <f>IF(업체현황!L9="폐업",0,IF(업체현황!L9="휴업",10,0))</f>
        <v/>
      </c>
      <c r="K9">
        <f>SUM(G9:J9)</f>
        <v/>
      </c>
      <c r="L9">
        <f>IF(K9&gt;=70,"고위험",IF(K9&gt;=40,"주의","일반"))</f>
        <v/>
      </c>
      <c r="M9">
        <f>IF(K9&gt;=70,"우선 검토",IF(K9&gt;=40,"모니터링","정기관리"))</f>
        <v/>
      </c>
    </row>
    <row r="10" ht="21" customHeight="1" s="26">
      <c r="A10">
        <f>업체현황!A10</f>
        <v/>
      </c>
      <c r="B10">
        <f>업체현황!B10</f>
        <v/>
      </c>
      <c r="C10">
        <f>업체현황!F10</f>
        <v/>
      </c>
      <c r="D10" s="31">
        <f>SUMIFS(연도별실적!$C$2:$C$401,연도별실적!$A$2:$A$401,A10,연도별실적!$B$2:$B$401,2024)</f>
        <v/>
      </c>
      <c r="E10" s="31">
        <f>SUMIFS(연도별실적!$C$2:$C$401,연도별실적!$A$2:$A$401,A10,연도별실적!$B$2:$B$401,2025)</f>
        <v/>
      </c>
      <c r="F10" s="32">
        <f>IF(D10=0,0,(E10-D10)/D10)</f>
        <v/>
      </c>
      <c r="G10">
        <f>IF(ABS(F10)&gt;=0.6,30,IF(ABS(F10)&gt;=0.35,20,IF(ABS(F10)&gt;=0.2,10,0)))</f>
        <v/>
      </c>
      <c r="H10">
        <f>IF(DATE(2026,10,23)-DATEVALUE(업체현황!O10)&gt;=1095,20,IF(DATE(2026,10,23)-DATEVALUE(업체현황!O10)&gt;=730,15,IF(DATE(2026,10,23)-DATEVALUE(업체현황!O10)&gt;=365,10,0)))</f>
        <v/>
      </c>
      <c r="I10">
        <f>IF(업체현황!P10="중대",30,IF(업체현황!P10="경미",15,0))</f>
        <v/>
      </c>
      <c r="J10">
        <f>IF(업체현황!L10="폐업",0,IF(업체현황!L10="휴업",10,0))</f>
        <v/>
      </c>
      <c r="K10">
        <f>SUM(G10:J10)</f>
        <v/>
      </c>
      <c r="L10">
        <f>IF(K10&gt;=70,"고위험",IF(K10&gt;=40,"주의","일반"))</f>
        <v/>
      </c>
      <c r="M10">
        <f>IF(K10&gt;=70,"우선 검토",IF(K10&gt;=40,"모니터링","정기관리"))</f>
        <v/>
      </c>
    </row>
    <row r="11" ht="21" customHeight="1" s="26">
      <c r="A11">
        <f>업체현황!A11</f>
        <v/>
      </c>
      <c r="B11">
        <f>업체현황!B11</f>
        <v/>
      </c>
      <c r="C11">
        <f>업체현황!F11</f>
        <v/>
      </c>
      <c r="D11" s="31">
        <f>SUMIFS(연도별실적!$C$2:$C$401,연도별실적!$A$2:$A$401,A11,연도별실적!$B$2:$B$401,2024)</f>
        <v/>
      </c>
      <c r="E11" s="31">
        <f>SUMIFS(연도별실적!$C$2:$C$401,연도별실적!$A$2:$A$401,A11,연도별실적!$B$2:$B$401,2025)</f>
        <v/>
      </c>
      <c r="F11" s="32">
        <f>IF(D11=0,0,(E11-D11)/D11)</f>
        <v/>
      </c>
      <c r="G11">
        <f>IF(ABS(F11)&gt;=0.6,30,IF(ABS(F11)&gt;=0.35,20,IF(ABS(F11)&gt;=0.2,10,0)))</f>
        <v/>
      </c>
      <c r="H11">
        <f>IF(DATE(2026,10,23)-DATEVALUE(업체현황!O11)&gt;=1095,20,IF(DATE(2026,10,23)-DATEVALUE(업체현황!O11)&gt;=730,15,IF(DATE(2026,10,23)-DATEVALUE(업체현황!O11)&gt;=365,10,0)))</f>
        <v/>
      </c>
      <c r="I11">
        <f>IF(업체현황!P11="중대",30,IF(업체현황!P11="경미",15,0))</f>
        <v/>
      </c>
      <c r="J11">
        <f>IF(업체현황!L11="폐업",0,IF(업체현황!L11="휴업",10,0))</f>
        <v/>
      </c>
      <c r="K11">
        <f>SUM(G11:J11)</f>
        <v/>
      </c>
      <c r="L11">
        <f>IF(K11&gt;=70,"고위험",IF(K11&gt;=40,"주의","일반"))</f>
        <v/>
      </c>
      <c r="M11">
        <f>IF(K11&gt;=70,"우선 검토",IF(K11&gt;=40,"모니터링","정기관리"))</f>
        <v/>
      </c>
    </row>
    <row r="12" ht="21" customHeight="1" s="26">
      <c r="A12">
        <f>업체현황!A12</f>
        <v/>
      </c>
      <c r="B12">
        <f>업체현황!B12</f>
        <v/>
      </c>
      <c r="C12">
        <f>업체현황!F12</f>
        <v/>
      </c>
      <c r="D12" s="31">
        <f>SUMIFS(연도별실적!$C$2:$C$401,연도별실적!$A$2:$A$401,A12,연도별실적!$B$2:$B$401,2024)</f>
        <v/>
      </c>
      <c r="E12" s="31">
        <f>SUMIFS(연도별실적!$C$2:$C$401,연도별실적!$A$2:$A$401,A12,연도별실적!$B$2:$B$401,2025)</f>
        <v/>
      </c>
      <c r="F12" s="32">
        <f>IF(D12=0,0,(E12-D12)/D12)</f>
        <v/>
      </c>
      <c r="G12">
        <f>IF(ABS(F12)&gt;=0.6,30,IF(ABS(F12)&gt;=0.35,20,IF(ABS(F12)&gt;=0.2,10,0)))</f>
        <v/>
      </c>
      <c r="H12">
        <f>IF(DATE(2026,10,23)-DATEVALUE(업체현황!O12)&gt;=1095,20,IF(DATE(2026,10,23)-DATEVALUE(업체현황!O12)&gt;=730,15,IF(DATE(2026,10,23)-DATEVALUE(업체현황!O12)&gt;=365,10,0)))</f>
        <v/>
      </c>
      <c r="I12">
        <f>IF(업체현황!P12="중대",30,IF(업체현황!P12="경미",15,0))</f>
        <v/>
      </c>
      <c r="J12">
        <f>IF(업체현황!L12="폐업",0,IF(업체현황!L12="휴업",10,0))</f>
        <v/>
      </c>
      <c r="K12">
        <f>SUM(G12:J12)</f>
        <v/>
      </c>
      <c r="L12">
        <f>IF(K12&gt;=70,"고위험",IF(K12&gt;=40,"주의","일반"))</f>
        <v/>
      </c>
      <c r="M12">
        <f>IF(K12&gt;=70,"우선 검토",IF(K12&gt;=40,"모니터링","정기관리"))</f>
        <v/>
      </c>
    </row>
    <row r="13" ht="21" customHeight="1" s="26">
      <c r="A13">
        <f>업체현황!A13</f>
        <v/>
      </c>
      <c r="B13">
        <f>업체현황!B13</f>
        <v/>
      </c>
      <c r="C13">
        <f>업체현황!F13</f>
        <v/>
      </c>
      <c r="D13" s="31">
        <f>SUMIFS(연도별실적!$C$2:$C$401,연도별실적!$A$2:$A$401,A13,연도별실적!$B$2:$B$401,2024)</f>
        <v/>
      </c>
      <c r="E13" s="31">
        <f>SUMIFS(연도별실적!$C$2:$C$401,연도별실적!$A$2:$A$401,A13,연도별실적!$B$2:$B$401,2025)</f>
        <v/>
      </c>
      <c r="F13" s="32">
        <f>IF(D13=0,0,(E13-D13)/D13)</f>
        <v/>
      </c>
      <c r="G13">
        <f>IF(ABS(F13)&gt;=0.6,30,IF(ABS(F13)&gt;=0.35,20,IF(ABS(F13)&gt;=0.2,10,0)))</f>
        <v/>
      </c>
      <c r="H13">
        <f>IF(DATE(2026,10,23)-DATEVALUE(업체현황!O13)&gt;=1095,20,IF(DATE(2026,10,23)-DATEVALUE(업체현황!O13)&gt;=730,15,IF(DATE(2026,10,23)-DATEVALUE(업체현황!O13)&gt;=365,10,0)))</f>
        <v/>
      </c>
      <c r="I13">
        <f>IF(업체현황!P13="중대",30,IF(업체현황!P13="경미",15,0))</f>
        <v/>
      </c>
      <c r="J13">
        <f>IF(업체현황!L13="폐업",0,IF(업체현황!L13="휴업",10,0))</f>
        <v/>
      </c>
      <c r="K13">
        <f>SUM(G13:J13)</f>
        <v/>
      </c>
      <c r="L13">
        <f>IF(K13&gt;=70,"고위험",IF(K13&gt;=40,"주의","일반"))</f>
        <v/>
      </c>
      <c r="M13">
        <f>IF(K13&gt;=70,"우선 검토",IF(K13&gt;=40,"모니터링","정기관리"))</f>
        <v/>
      </c>
    </row>
    <row r="14" ht="21" customHeight="1" s="26">
      <c r="A14">
        <f>업체현황!A14</f>
        <v/>
      </c>
      <c r="B14">
        <f>업체현황!B14</f>
        <v/>
      </c>
      <c r="C14">
        <f>업체현황!F14</f>
        <v/>
      </c>
      <c r="D14" s="31">
        <f>SUMIFS(연도별실적!$C$2:$C$401,연도별실적!$A$2:$A$401,A14,연도별실적!$B$2:$B$401,2024)</f>
        <v/>
      </c>
      <c r="E14" s="31">
        <f>SUMIFS(연도별실적!$C$2:$C$401,연도별실적!$A$2:$A$401,A14,연도별실적!$B$2:$B$401,2025)</f>
        <v/>
      </c>
      <c r="F14" s="32">
        <f>IF(D14=0,0,(E14-D14)/D14)</f>
        <v/>
      </c>
      <c r="G14">
        <f>IF(ABS(F14)&gt;=0.6,30,IF(ABS(F14)&gt;=0.35,20,IF(ABS(F14)&gt;=0.2,10,0)))</f>
        <v/>
      </c>
      <c r="H14">
        <f>IF(DATE(2026,10,23)-DATEVALUE(업체현황!O14)&gt;=1095,20,IF(DATE(2026,10,23)-DATEVALUE(업체현황!O14)&gt;=730,15,IF(DATE(2026,10,23)-DATEVALUE(업체현황!O14)&gt;=365,10,0)))</f>
        <v/>
      </c>
      <c r="I14">
        <f>IF(업체현황!P14="중대",30,IF(업체현황!P14="경미",15,0))</f>
        <v/>
      </c>
      <c r="J14">
        <f>IF(업체현황!L14="폐업",0,IF(업체현황!L14="휴업",10,0))</f>
        <v/>
      </c>
      <c r="K14">
        <f>SUM(G14:J14)</f>
        <v/>
      </c>
      <c r="L14">
        <f>IF(K14&gt;=70,"고위험",IF(K14&gt;=40,"주의","일반"))</f>
        <v/>
      </c>
      <c r="M14">
        <f>IF(K14&gt;=70,"우선 검토",IF(K14&gt;=40,"모니터링","정기관리"))</f>
        <v/>
      </c>
    </row>
    <row r="15" ht="21" customHeight="1" s="26">
      <c r="A15">
        <f>업체현황!A15</f>
        <v/>
      </c>
      <c r="B15">
        <f>업체현황!B15</f>
        <v/>
      </c>
      <c r="C15">
        <f>업체현황!F15</f>
        <v/>
      </c>
      <c r="D15" s="31">
        <f>SUMIFS(연도별실적!$C$2:$C$401,연도별실적!$A$2:$A$401,A15,연도별실적!$B$2:$B$401,2024)</f>
        <v/>
      </c>
      <c r="E15" s="31">
        <f>SUMIFS(연도별실적!$C$2:$C$401,연도별실적!$A$2:$A$401,A15,연도별실적!$B$2:$B$401,2025)</f>
        <v/>
      </c>
      <c r="F15" s="32">
        <f>IF(D15=0,0,(E15-D15)/D15)</f>
        <v/>
      </c>
      <c r="G15">
        <f>IF(ABS(F15)&gt;=0.6,30,IF(ABS(F15)&gt;=0.35,20,IF(ABS(F15)&gt;=0.2,10,0)))</f>
        <v/>
      </c>
      <c r="H15">
        <f>IF(DATE(2026,10,23)-DATEVALUE(업체현황!O15)&gt;=1095,20,IF(DATE(2026,10,23)-DATEVALUE(업체현황!O15)&gt;=730,15,IF(DATE(2026,10,23)-DATEVALUE(업체현황!O15)&gt;=365,10,0)))</f>
        <v/>
      </c>
      <c r="I15">
        <f>IF(업체현황!P15="중대",30,IF(업체현황!P15="경미",15,0))</f>
        <v/>
      </c>
      <c r="J15">
        <f>IF(업체현황!L15="폐업",0,IF(업체현황!L15="휴업",10,0))</f>
        <v/>
      </c>
      <c r="K15">
        <f>SUM(G15:J15)</f>
        <v/>
      </c>
      <c r="L15">
        <f>IF(K15&gt;=70,"고위험",IF(K15&gt;=40,"주의","일반"))</f>
        <v/>
      </c>
      <c r="M15">
        <f>IF(K15&gt;=70,"우선 검토",IF(K15&gt;=40,"모니터링","정기관리"))</f>
        <v/>
      </c>
    </row>
    <row r="16" ht="21" customHeight="1" s="26">
      <c r="A16">
        <f>업체현황!A16</f>
        <v/>
      </c>
      <c r="B16">
        <f>업체현황!B16</f>
        <v/>
      </c>
      <c r="C16">
        <f>업체현황!F16</f>
        <v/>
      </c>
      <c r="D16" s="31">
        <f>SUMIFS(연도별실적!$C$2:$C$401,연도별실적!$A$2:$A$401,A16,연도별실적!$B$2:$B$401,2024)</f>
        <v/>
      </c>
      <c r="E16" s="31">
        <f>SUMIFS(연도별실적!$C$2:$C$401,연도별실적!$A$2:$A$401,A16,연도별실적!$B$2:$B$401,2025)</f>
        <v/>
      </c>
      <c r="F16" s="32">
        <f>IF(D16=0,0,(E16-D16)/D16)</f>
        <v/>
      </c>
      <c r="G16">
        <f>IF(ABS(F16)&gt;=0.6,30,IF(ABS(F16)&gt;=0.35,20,IF(ABS(F16)&gt;=0.2,10,0)))</f>
        <v/>
      </c>
      <c r="H16">
        <f>IF(DATE(2026,10,23)-DATEVALUE(업체현황!O16)&gt;=1095,20,IF(DATE(2026,10,23)-DATEVALUE(업체현황!O16)&gt;=730,15,IF(DATE(2026,10,23)-DATEVALUE(업체현황!O16)&gt;=365,10,0)))</f>
        <v/>
      </c>
      <c r="I16">
        <f>IF(업체현황!P16="중대",30,IF(업체현황!P16="경미",15,0))</f>
        <v/>
      </c>
      <c r="J16">
        <f>IF(업체현황!L16="폐업",0,IF(업체현황!L16="휴업",10,0))</f>
        <v/>
      </c>
      <c r="K16">
        <f>SUM(G16:J16)</f>
        <v/>
      </c>
      <c r="L16">
        <f>IF(K16&gt;=70,"고위험",IF(K16&gt;=40,"주의","일반"))</f>
        <v/>
      </c>
      <c r="M16">
        <f>IF(K16&gt;=70,"우선 검토",IF(K16&gt;=40,"모니터링","정기관리"))</f>
        <v/>
      </c>
    </row>
    <row r="17" ht="21" customHeight="1" s="26">
      <c r="A17">
        <f>업체현황!A17</f>
        <v/>
      </c>
      <c r="B17">
        <f>업체현황!B17</f>
        <v/>
      </c>
      <c r="C17">
        <f>업체현황!F17</f>
        <v/>
      </c>
      <c r="D17" s="31">
        <f>SUMIFS(연도별실적!$C$2:$C$401,연도별실적!$A$2:$A$401,A17,연도별실적!$B$2:$B$401,2024)</f>
        <v/>
      </c>
      <c r="E17" s="31">
        <f>SUMIFS(연도별실적!$C$2:$C$401,연도별실적!$A$2:$A$401,A17,연도별실적!$B$2:$B$401,2025)</f>
        <v/>
      </c>
      <c r="F17" s="32">
        <f>IF(D17=0,0,(E17-D17)/D17)</f>
        <v/>
      </c>
      <c r="G17">
        <f>IF(ABS(F17)&gt;=0.6,30,IF(ABS(F17)&gt;=0.35,20,IF(ABS(F17)&gt;=0.2,10,0)))</f>
        <v/>
      </c>
      <c r="H17">
        <f>IF(DATE(2026,10,23)-DATEVALUE(업체현황!O17)&gt;=1095,20,IF(DATE(2026,10,23)-DATEVALUE(업체현황!O17)&gt;=730,15,IF(DATE(2026,10,23)-DATEVALUE(업체현황!O17)&gt;=365,10,0)))</f>
        <v/>
      </c>
      <c r="I17">
        <f>IF(업체현황!P17="중대",30,IF(업체현황!P17="경미",15,0))</f>
        <v/>
      </c>
      <c r="J17">
        <f>IF(업체현황!L17="폐업",0,IF(업체현황!L17="휴업",10,0))</f>
        <v/>
      </c>
      <c r="K17">
        <f>SUM(G17:J17)</f>
        <v/>
      </c>
      <c r="L17">
        <f>IF(K17&gt;=70,"고위험",IF(K17&gt;=40,"주의","일반"))</f>
        <v/>
      </c>
      <c r="M17">
        <f>IF(K17&gt;=70,"우선 검토",IF(K17&gt;=40,"모니터링","정기관리"))</f>
        <v/>
      </c>
    </row>
    <row r="18" ht="21" customHeight="1" s="26">
      <c r="A18">
        <f>업체현황!A18</f>
        <v/>
      </c>
      <c r="B18">
        <f>업체현황!B18</f>
        <v/>
      </c>
      <c r="C18">
        <f>업체현황!F18</f>
        <v/>
      </c>
      <c r="D18" s="31">
        <f>SUMIFS(연도별실적!$C$2:$C$401,연도별실적!$A$2:$A$401,A18,연도별실적!$B$2:$B$401,2024)</f>
        <v/>
      </c>
      <c r="E18" s="31">
        <f>SUMIFS(연도별실적!$C$2:$C$401,연도별실적!$A$2:$A$401,A18,연도별실적!$B$2:$B$401,2025)</f>
        <v/>
      </c>
      <c r="F18" s="32">
        <f>IF(D18=0,0,(E18-D18)/D18)</f>
        <v/>
      </c>
      <c r="G18">
        <f>IF(ABS(F18)&gt;=0.6,30,IF(ABS(F18)&gt;=0.35,20,IF(ABS(F18)&gt;=0.2,10,0)))</f>
        <v/>
      </c>
      <c r="H18">
        <f>IF(DATE(2026,10,23)-DATEVALUE(업체현황!O18)&gt;=1095,20,IF(DATE(2026,10,23)-DATEVALUE(업체현황!O18)&gt;=730,15,IF(DATE(2026,10,23)-DATEVALUE(업체현황!O18)&gt;=365,10,0)))</f>
        <v/>
      </c>
      <c r="I18">
        <f>IF(업체현황!P18="중대",30,IF(업체현황!P18="경미",15,0))</f>
        <v/>
      </c>
      <c r="J18">
        <f>IF(업체현황!L18="폐업",0,IF(업체현황!L18="휴업",10,0))</f>
        <v/>
      </c>
      <c r="K18">
        <f>SUM(G18:J18)</f>
        <v/>
      </c>
      <c r="L18">
        <f>IF(K18&gt;=70,"고위험",IF(K18&gt;=40,"주의","일반"))</f>
        <v/>
      </c>
      <c r="M18">
        <f>IF(K18&gt;=70,"우선 검토",IF(K18&gt;=40,"모니터링","정기관리"))</f>
        <v/>
      </c>
    </row>
    <row r="19" ht="21" customHeight="1" s="26">
      <c r="A19">
        <f>업체현황!A19</f>
        <v/>
      </c>
      <c r="B19">
        <f>업체현황!B19</f>
        <v/>
      </c>
      <c r="C19">
        <f>업체현황!F19</f>
        <v/>
      </c>
      <c r="D19" s="31">
        <f>SUMIFS(연도별실적!$C$2:$C$401,연도별실적!$A$2:$A$401,A19,연도별실적!$B$2:$B$401,2024)</f>
        <v/>
      </c>
      <c r="E19" s="31">
        <f>SUMIFS(연도별실적!$C$2:$C$401,연도별실적!$A$2:$A$401,A19,연도별실적!$B$2:$B$401,2025)</f>
        <v/>
      </c>
      <c r="F19" s="32">
        <f>IF(D19=0,0,(E19-D19)/D19)</f>
        <v/>
      </c>
      <c r="G19">
        <f>IF(ABS(F19)&gt;=0.6,30,IF(ABS(F19)&gt;=0.35,20,IF(ABS(F19)&gt;=0.2,10,0)))</f>
        <v/>
      </c>
      <c r="H19">
        <f>IF(DATE(2026,10,23)-DATEVALUE(업체현황!O19)&gt;=1095,20,IF(DATE(2026,10,23)-DATEVALUE(업체현황!O19)&gt;=730,15,IF(DATE(2026,10,23)-DATEVALUE(업체현황!O19)&gt;=365,10,0)))</f>
        <v/>
      </c>
      <c r="I19">
        <f>IF(업체현황!P19="중대",30,IF(업체현황!P19="경미",15,0))</f>
        <v/>
      </c>
      <c r="J19">
        <f>IF(업체현황!L19="폐업",0,IF(업체현황!L19="휴업",10,0))</f>
        <v/>
      </c>
      <c r="K19">
        <f>SUM(G19:J19)</f>
        <v/>
      </c>
      <c r="L19">
        <f>IF(K19&gt;=70,"고위험",IF(K19&gt;=40,"주의","일반"))</f>
        <v/>
      </c>
      <c r="M19">
        <f>IF(K19&gt;=70,"우선 검토",IF(K19&gt;=40,"모니터링","정기관리"))</f>
        <v/>
      </c>
    </row>
    <row r="20" ht="21" customHeight="1" s="26">
      <c r="A20">
        <f>업체현황!A20</f>
        <v/>
      </c>
      <c r="B20">
        <f>업체현황!B20</f>
        <v/>
      </c>
      <c r="C20">
        <f>업체현황!F20</f>
        <v/>
      </c>
      <c r="D20" s="31">
        <f>SUMIFS(연도별실적!$C$2:$C$401,연도별실적!$A$2:$A$401,A20,연도별실적!$B$2:$B$401,2024)</f>
        <v/>
      </c>
      <c r="E20" s="31">
        <f>SUMIFS(연도별실적!$C$2:$C$401,연도별실적!$A$2:$A$401,A20,연도별실적!$B$2:$B$401,2025)</f>
        <v/>
      </c>
      <c r="F20" s="32">
        <f>IF(D20=0,0,(E20-D20)/D20)</f>
        <v/>
      </c>
      <c r="G20">
        <f>IF(ABS(F20)&gt;=0.6,30,IF(ABS(F20)&gt;=0.35,20,IF(ABS(F20)&gt;=0.2,10,0)))</f>
        <v/>
      </c>
      <c r="H20">
        <f>IF(DATE(2026,10,23)-DATEVALUE(업체현황!O20)&gt;=1095,20,IF(DATE(2026,10,23)-DATEVALUE(업체현황!O20)&gt;=730,15,IF(DATE(2026,10,23)-DATEVALUE(업체현황!O20)&gt;=365,10,0)))</f>
        <v/>
      </c>
      <c r="I20">
        <f>IF(업체현황!P20="중대",30,IF(업체현황!P20="경미",15,0))</f>
        <v/>
      </c>
      <c r="J20">
        <f>IF(업체현황!L20="폐업",0,IF(업체현황!L20="휴업",10,0))</f>
        <v/>
      </c>
      <c r="K20">
        <f>SUM(G20:J20)</f>
        <v/>
      </c>
      <c r="L20">
        <f>IF(K20&gt;=70,"고위험",IF(K20&gt;=40,"주의","일반"))</f>
        <v/>
      </c>
      <c r="M20">
        <f>IF(K20&gt;=70,"우선 검토",IF(K20&gt;=40,"모니터링","정기관리"))</f>
        <v/>
      </c>
    </row>
    <row r="21" ht="21" customHeight="1" s="26">
      <c r="A21">
        <f>업체현황!A21</f>
        <v/>
      </c>
      <c r="B21">
        <f>업체현황!B21</f>
        <v/>
      </c>
      <c r="C21">
        <f>업체현황!F21</f>
        <v/>
      </c>
      <c r="D21" s="31">
        <f>SUMIFS(연도별실적!$C$2:$C$401,연도별실적!$A$2:$A$401,A21,연도별실적!$B$2:$B$401,2024)</f>
        <v/>
      </c>
      <c r="E21" s="31">
        <f>SUMIFS(연도별실적!$C$2:$C$401,연도별실적!$A$2:$A$401,A21,연도별실적!$B$2:$B$401,2025)</f>
        <v/>
      </c>
      <c r="F21" s="32">
        <f>IF(D21=0,0,(E21-D21)/D21)</f>
        <v/>
      </c>
      <c r="G21">
        <f>IF(ABS(F21)&gt;=0.6,30,IF(ABS(F21)&gt;=0.35,20,IF(ABS(F21)&gt;=0.2,10,0)))</f>
        <v/>
      </c>
      <c r="H21">
        <f>IF(DATE(2026,10,23)-DATEVALUE(업체현황!O21)&gt;=1095,20,IF(DATE(2026,10,23)-DATEVALUE(업체현황!O21)&gt;=730,15,IF(DATE(2026,10,23)-DATEVALUE(업체현황!O21)&gt;=365,10,0)))</f>
        <v/>
      </c>
      <c r="I21">
        <f>IF(업체현황!P21="중대",30,IF(업체현황!P21="경미",15,0))</f>
        <v/>
      </c>
      <c r="J21">
        <f>IF(업체현황!L21="폐업",0,IF(업체현황!L21="휴업",10,0))</f>
        <v/>
      </c>
      <c r="K21">
        <f>SUM(G21:J21)</f>
        <v/>
      </c>
      <c r="L21">
        <f>IF(K21&gt;=70,"고위험",IF(K21&gt;=40,"주의","일반"))</f>
        <v/>
      </c>
      <c r="M21">
        <f>IF(K21&gt;=70,"우선 검토",IF(K21&gt;=40,"모니터링","정기관리"))</f>
        <v/>
      </c>
    </row>
    <row r="22" ht="21" customHeight="1" s="26">
      <c r="A22">
        <f>업체현황!A22</f>
        <v/>
      </c>
      <c r="B22">
        <f>업체현황!B22</f>
        <v/>
      </c>
      <c r="C22">
        <f>업체현황!F22</f>
        <v/>
      </c>
      <c r="D22" s="31">
        <f>SUMIFS(연도별실적!$C$2:$C$401,연도별실적!$A$2:$A$401,A22,연도별실적!$B$2:$B$401,2024)</f>
        <v/>
      </c>
      <c r="E22" s="31">
        <f>SUMIFS(연도별실적!$C$2:$C$401,연도별실적!$A$2:$A$401,A22,연도별실적!$B$2:$B$401,2025)</f>
        <v/>
      </c>
      <c r="F22" s="32">
        <f>IF(D22=0,0,(E22-D22)/D22)</f>
        <v/>
      </c>
      <c r="G22">
        <f>IF(ABS(F22)&gt;=0.6,30,IF(ABS(F22)&gt;=0.35,20,IF(ABS(F22)&gt;=0.2,10,0)))</f>
        <v/>
      </c>
      <c r="H22">
        <f>IF(DATE(2026,10,23)-DATEVALUE(업체현황!O22)&gt;=1095,20,IF(DATE(2026,10,23)-DATEVALUE(업체현황!O22)&gt;=730,15,IF(DATE(2026,10,23)-DATEVALUE(업체현황!O22)&gt;=365,10,0)))</f>
        <v/>
      </c>
      <c r="I22">
        <f>IF(업체현황!P22="중대",30,IF(업체현황!P22="경미",15,0))</f>
        <v/>
      </c>
      <c r="J22">
        <f>IF(업체현황!L22="폐업",0,IF(업체현황!L22="휴업",10,0))</f>
        <v/>
      </c>
      <c r="K22">
        <f>SUM(G22:J22)</f>
        <v/>
      </c>
      <c r="L22">
        <f>IF(K22&gt;=70,"고위험",IF(K22&gt;=40,"주의","일반"))</f>
        <v/>
      </c>
      <c r="M22">
        <f>IF(K22&gt;=70,"우선 검토",IF(K22&gt;=40,"모니터링","정기관리"))</f>
        <v/>
      </c>
    </row>
    <row r="23" ht="21" customHeight="1" s="26">
      <c r="A23">
        <f>업체현황!A23</f>
        <v/>
      </c>
      <c r="B23">
        <f>업체현황!B23</f>
        <v/>
      </c>
      <c r="C23">
        <f>업체현황!F23</f>
        <v/>
      </c>
      <c r="D23" s="31">
        <f>SUMIFS(연도별실적!$C$2:$C$401,연도별실적!$A$2:$A$401,A23,연도별실적!$B$2:$B$401,2024)</f>
        <v/>
      </c>
      <c r="E23" s="31">
        <f>SUMIFS(연도별실적!$C$2:$C$401,연도별실적!$A$2:$A$401,A23,연도별실적!$B$2:$B$401,2025)</f>
        <v/>
      </c>
      <c r="F23" s="32">
        <f>IF(D23=0,0,(E23-D23)/D23)</f>
        <v/>
      </c>
      <c r="G23">
        <f>IF(ABS(F23)&gt;=0.6,30,IF(ABS(F23)&gt;=0.35,20,IF(ABS(F23)&gt;=0.2,10,0)))</f>
        <v/>
      </c>
      <c r="H23">
        <f>IF(DATE(2026,10,23)-DATEVALUE(업체현황!O23)&gt;=1095,20,IF(DATE(2026,10,23)-DATEVALUE(업체현황!O23)&gt;=730,15,IF(DATE(2026,10,23)-DATEVALUE(업체현황!O23)&gt;=365,10,0)))</f>
        <v/>
      </c>
      <c r="I23">
        <f>IF(업체현황!P23="중대",30,IF(업체현황!P23="경미",15,0))</f>
        <v/>
      </c>
      <c r="J23">
        <f>IF(업체현황!L23="폐업",0,IF(업체현황!L23="휴업",10,0))</f>
        <v/>
      </c>
      <c r="K23">
        <f>SUM(G23:J23)</f>
        <v/>
      </c>
      <c r="L23">
        <f>IF(K23&gt;=70,"고위험",IF(K23&gt;=40,"주의","일반"))</f>
        <v/>
      </c>
      <c r="M23">
        <f>IF(K23&gt;=70,"우선 검토",IF(K23&gt;=40,"모니터링","정기관리"))</f>
        <v/>
      </c>
    </row>
    <row r="24" ht="21" customHeight="1" s="26">
      <c r="A24">
        <f>업체현황!A24</f>
        <v/>
      </c>
      <c r="B24">
        <f>업체현황!B24</f>
        <v/>
      </c>
      <c r="C24">
        <f>업체현황!F24</f>
        <v/>
      </c>
      <c r="D24" s="31">
        <f>SUMIFS(연도별실적!$C$2:$C$401,연도별실적!$A$2:$A$401,A24,연도별실적!$B$2:$B$401,2024)</f>
        <v/>
      </c>
      <c r="E24" s="31">
        <f>SUMIFS(연도별실적!$C$2:$C$401,연도별실적!$A$2:$A$401,A24,연도별실적!$B$2:$B$401,2025)</f>
        <v/>
      </c>
      <c r="F24" s="32">
        <f>IF(D24=0,0,(E24-D24)/D24)</f>
        <v/>
      </c>
      <c r="G24">
        <f>IF(ABS(F24)&gt;=0.6,30,IF(ABS(F24)&gt;=0.35,20,IF(ABS(F24)&gt;=0.2,10,0)))</f>
        <v/>
      </c>
      <c r="H24">
        <f>IF(DATE(2026,10,23)-DATEVALUE(업체현황!O24)&gt;=1095,20,IF(DATE(2026,10,23)-DATEVALUE(업체현황!O24)&gt;=730,15,IF(DATE(2026,10,23)-DATEVALUE(업체현황!O24)&gt;=365,10,0)))</f>
        <v/>
      </c>
      <c r="I24">
        <f>IF(업체현황!P24="중대",30,IF(업체현황!P24="경미",15,0))</f>
        <v/>
      </c>
      <c r="J24">
        <f>IF(업체현황!L24="폐업",0,IF(업체현황!L24="휴업",10,0))</f>
        <v/>
      </c>
      <c r="K24">
        <f>SUM(G24:J24)</f>
        <v/>
      </c>
      <c r="L24">
        <f>IF(K24&gt;=70,"고위험",IF(K24&gt;=40,"주의","일반"))</f>
        <v/>
      </c>
      <c r="M24">
        <f>IF(K24&gt;=70,"우선 검토",IF(K24&gt;=40,"모니터링","정기관리"))</f>
        <v/>
      </c>
    </row>
    <row r="25" ht="21" customHeight="1" s="26">
      <c r="A25">
        <f>업체현황!A25</f>
        <v/>
      </c>
      <c r="B25">
        <f>업체현황!B25</f>
        <v/>
      </c>
      <c r="C25">
        <f>업체현황!F25</f>
        <v/>
      </c>
      <c r="D25" s="31">
        <f>SUMIFS(연도별실적!$C$2:$C$401,연도별실적!$A$2:$A$401,A25,연도별실적!$B$2:$B$401,2024)</f>
        <v/>
      </c>
      <c r="E25" s="31">
        <f>SUMIFS(연도별실적!$C$2:$C$401,연도별실적!$A$2:$A$401,A25,연도별실적!$B$2:$B$401,2025)</f>
        <v/>
      </c>
      <c r="F25" s="32">
        <f>IF(D25=0,0,(E25-D25)/D25)</f>
        <v/>
      </c>
      <c r="G25">
        <f>IF(ABS(F25)&gt;=0.6,30,IF(ABS(F25)&gt;=0.35,20,IF(ABS(F25)&gt;=0.2,10,0)))</f>
        <v/>
      </c>
      <c r="H25">
        <f>IF(DATE(2026,10,23)-DATEVALUE(업체현황!O25)&gt;=1095,20,IF(DATE(2026,10,23)-DATEVALUE(업체현황!O25)&gt;=730,15,IF(DATE(2026,10,23)-DATEVALUE(업체현황!O25)&gt;=365,10,0)))</f>
        <v/>
      </c>
      <c r="I25">
        <f>IF(업체현황!P25="중대",30,IF(업체현황!P25="경미",15,0))</f>
        <v/>
      </c>
      <c r="J25">
        <f>IF(업체현황!L25="폐업",0,IF(업체현황!L25="휴업",10,0))</f>
        <v/>
      </c>
      <c r="K25">
        <f>SUM(G25:J25)</f>
        <v/>
      </c>
      <c r="L25">
        <f>IF(K25&gt;=70,"고위험",IF(K25&gt;=40,"주의","일반"))</f>
        <v/>
      </c>
      <c r="M25">
        <f>IF(K25&gt;=70,"우선 검토",IF(K25&gt;=40,"모니터링","정기관리"))</f>
        <v/>
      </c>
    </row>
    <row r="26" ht="21" customHeight="1" s="26">
      <c r="A26">
        <f>업체현황!A26</f>
        <v/>
      </c>
      <c r="B26">
        <f>업체현황!B26</f>
        <v/>
      </c>
      <c r="C26">
        <f>업체현황!F26</f>
        <v/>
      </c>
      <c r="D26" s="31">
        <f>SUMIFS(연도별실적!$C$2:$C$401,연도별실적!$A$2:$A$401,A26,연도별실적!$B$2:$B$401,2024)</f>
        <v/>
      </c>
      <c r="E26" s="31">
        <f>SUMIFS(연도별실적!$C$2:$C$401,연도별실적!$A$2:$A$401,A26,연도별실적!$B$2:$B$401,2025)</f>
        <v/>
      </c>
      <c r="F26" s="32">
        <f>IF(D26=0,0,(E26-D26)/D26)</f>
        <v/>
      </c>
      <c r="G26">
        <f>IF(ABS(F26)&gt;=0.6,30,IF(ABS(F26)&gt;=0.35,20,IF(ABS(F26)&gt;=0.2,10,0)))</f>
        <v/>
      </c>
      <c r="H26">
        <f>IF(DATE(2026,10,23)-DATEVALUE(업체현황!O26)&gt;=1095,20,IF(DATE(2026,10,23)-DATEVALUE(업체현황!O26)&gt;=730,15,IF(DATE(2026,10,23)-DATEVALUE(업체현황!O26)&gt;=365,10,0)))</f>
        <v/>
      </c>
      <c r="I26">
        <f>IF(업체현황!P26="중대",30,IF(업체현황!P26="경미",15,0))</f>
        <v/>
      </c>
      <c r="J26">
        <f>IF(업체현황!L26="폐업",0,IF(업체현황!L26="휴업",10,0))</f>
        <v/>
      </c>
      <c r="K26">
        <f>SUM(G26:J26)</f>
        <v/>
      </c>
      <c r="L26">
        <f>IF(K26&gt;=70,"고위험",IF(K26&gt;=40,"주의","일반"))</f>
        <v/>
      </c>
      <c r="M26">
        <f>IF(K26&gt;=70,"우선 검토",IF(K26&gt;=40,"모니터링","정기관리"))</f>
        <v/>
      </c>
    </row>
    <row r="27" ht="21" customHeight="1" s="26">
      <c r="A27">
        <f>업체현황!A27</f>
        <v/>
      </c>
      <c r="B27">
        <f>업체현황!B27</f>
        <v/>
      </c>
      <c r="C27">
        <f>업체현황!F27</f>
        <v/>
      </c>
      <c r="D27" s="31">
        <f>SUMIFS(연도별실적!$C$2:$C$401,연도별실적!$A$2:$A$401,A27,연도별실적!$B$2:$B$401,2024)</f>
        <v/>
      </c>
      <c r="E27" s="31">
        <f>SUMIFS(연도별실적!$C$2:$C$401,연도별실적!$A$2:$A$401,A27,연도별실적!$B$2:$B$401,2025)</f>
        <v/>
      </c>
      <c r="F27" s="32">
        <f>IF(D27=0,0,(E27-D27)/D27)</f>
        <v/>
      </c>
      <c r="G27">
        <f>IF(ABS(F27)&gt;=0.6,30,IF(ABS(F27)&gt;=0.35,20,IF(ABS(F27)&gt;=0.2,10,0)))</f>
        <v/>
      </c>
      <c r="H27">
        <f>IF(DATE(2026,10,23)-DATEVALUE(업체현황!O27)&gt;=1095,20,IF(DATE(2026,10,23)-DATEVALUE(업체현황!O27)&gt;=730,15,IF(DATE(2026,10,23)-DATEVALUE(업체현황!O27)&gt;=365,10,0)))</f>
        <v/>
      </c>
      <c r="I27">
        <f>IF(업체현황!P27="중대",30,IF(업체현황!P27="경미",15,0))</f>
        <v/>
      </c>
      <c r="J27">
        <f>IF(업체현황!L27="폐업",0,IF(업체현황!L27="휴업",10,0))</f>
        <v/>
      </c>
      <c r="K27">
        <f>SUM(G27:J27)</f>
        <v/>
      </c>
      <c r="L27">
        <f>IF(K27&gt;=70,"고위험",IF(K27&gt;=40,"주의","일반"))</f>
        <v/>
      </c>
      <c r="M27">
        <f>IF(K27&gt;=70,"우선 검토",IF(K27&gt;=40,"모니터링","정기관리"))</f>
        <v/>
      </c>
    </row>
    <row r="28" ht="21" customHeight="1" s="26">
      <c r="A28">
        <f>업체현황!A28</f>
        <v/>
      </c>
      <c r="B28">
        <f>업체현황!B28</f>
        <v/>
      </c>
      <c r="C28">
        <f>업체현황!F28</f>
        <v/>
      </c>
      <c r="D28" s="31">
        <f>SUMIFS(연도별실적!$C$2:$C$401,연도별실적!$A$2:$A$401,A28,연도별실적!$B$2:$B$401,2024)</f>
        <v/>
      </c>
      <c r="E28" s="31">
        <f>SUMIFS(연도별실적!$C$2:$C$401,연도별실적!$A$2:$A$401,A28,연도별실적!$B$2:$B$401,2025)</f>
        <v/>
      </c>
      <c r="F28" s="32">
        <f>IF(D28=0,0,(E28-D28)/D28)</f>
        <v/>
      </c>
      <c r="G28">
        <f>IF(ABS(F28)&gt;=0.6,30,IF(ABS(F28)&gt;=0.35,20,IF(ABS(F28)&gt;=0.2,10,0)))</f>
        <v/>
      </c>
      <c r="H28">
        <f>IF(DATE(2026,10,23)-DATEVALUE(업체현황!O28)&gt;=1095,20,IF(DATE(2026,10,23)-DATEVALUE(업체현황!O28)&gt;=730,15,IF(DATE(2026,10,23)-DATEVALUE(업체현황!O28)&gt;=365,10,0)))</f>
        <v/>
      </c>
      <c r="I28">
        <f>IF(업체현황!P28="중대",30,IF(업체현황!P28="경미",15,0))</f>
        <v/>
      </c>
      <c r="J28">
        <f>IF(업체현황!L28="폐업",0,IF(업체현황!L28="휴업",10,0))</f>
        <v/>
      </c>
      <c r="K28">
        <f>SUM(G28:J28)</f>
        <v/>
      </c>
      <c r="L28">
        <f>IF(K28&gt;=70,"고위험",IF(K28&gt;=40,"주의","일반"))</f>
        <v/>
      </c>
      <c r="M28">
        <f>IF(K28&gt;=70,"우선 검토",IF(K28&gt;=40,"모니터링","정기관리"))</f>
        <v/>
      </c>
    </row>
    <row r="29" ht="21" customHeight="1" s="26">
      <c r="A29">
        <f>업체현황!A29</f>
        <v/>
      </c>
      <c r="B29">
        <f>업체현황!B29</f>
        <v/>
      </c>
      <c r="C29">
        <f>업체현황!F29</f>
        <v/>
      </c>
      <c r="D29" s="31">
        <f>SUMIFS(연도별실적!$C$2:$C$401,연도별실적!$A$2:$A$401,A29,연도별실적!$B$2:$B$401,2024)</f>
        <v/>
      </c>
      <c r="E29" s="31">
        <f>SUMIFS(연도별실적!$C$2:$C$401,연도별실적!$A$2:$A$401,A29,연도별실적!$B$2:$B$401,2025)</f>
        <v/>
      </c>
      <c r="F29" s="32">
        <f>IF(D29=0,0,(E29-D29)/D29)</f>
        <v/>
      </c>
      <c r="G29">
        <f>IF(ABS(F29)&gt;=0.6,30,IF(ABS(F29)&gt;=0.35,20,IF(ABS(F29)&gt;=0.2,10,0)))</f>
        <v/>
      </c>
      <c r="H29">
        <f>IF(DATE(2026,10,23)-DATEVALUE(업체현황!O29)&gt;=1095,20,IF(DATE(2026,10,23)-DATEVALUE(업체현황!O29)&gt;=730,15,IF(DATE(2026,10,23)-DATEVALUE(업체현황!O29)&gt;=365,10,0)))</f>
        <v/>
      </c>
      <c r="I29">
        <f>IF(업체현황!P29="중대",30,IF(업체현황!P29="경미",15,0))</f>
        <v/>
      </c>
      <c r="J29">
        <f>IF(업체현황!L29="폐업",0,IF(업체현황!L29="휴업",10,0))</f>
        <v/>
      </c>
      <c r="K29">
        <f>SUM(G29:J29)</f>
        <v/>
      </c>
      <c r="L29">
        <f>IF(K29&gt;=70,"고위험",IF(K29&gt;=40,"주의","일반"))</f>
        <v/>
      </c>
      <c r="M29">
        <f>IF(K29&gt;=70,"우선 검토",IF(K29&gt;=40,"모니터링","정기관리"))</f>
        <v/>
      </c>
    </row>
    <row r="30" ht="21" customHeight="1" s="26">
      <c r="A30">
        <f>업체현황!A30</f>
        <v/>
      </c>
      <c r="B30">
        <f>업체현황!B30</f>
        <v/>
      </c>
      <c r="C30">
        <f>업체현황!F30</f>
        <v/>
      </c>
      <c r="D30" s="31">
        <f>SUMIFS(연도별실적!$C$2:$C$401,연도별실적!$A$2:$A$401,A30,연도별실적!$B$2:$B$401,2024)</f>
        <v/>
      </c>
      <c r="E30" s="31">
        <f>SUMIFS(연도별실적!$C$2:$C$401,연도별실적!$A$2:$A$401,A30,연도별실적!$B$2:$B$401,2025)</f>
        <v/>
      </c>
      <c r="F30" s="32">
        <f>IF(D30=0,0,(E30-D30)/D30)</f>
        <v/>
      </c>
      <c r="G30">
        <f>IF(ABS(F30)&gt;=0.6,30,IF(ABS(F30)&gt;=0.35,20,IF(ABS(F30)&gt;=0.2,10,0)))</f>
        <v/>
      </c>
      <c r="H30">
        <f>IF(DATE(2026,10,23)-DATEVALUE(업체현황!O30)&gt;=1095,20,IF(DATE(2026,10,23)-DATEVALUE(업체현황!O30)&gt;=730,15,IF(DATE(2026,10,23)-DATEVALUE(업체현황!O30)&gt;=365,10,0)))</f>
        <v/>
      </c>
      <c r="I30">
        <f>IF(업체현황!P30="중대",30,IF(업체현황!P30="경미",15,0))</f>
        <v/>
      </c>
      <c r="J30">
        <f>IF(업체현황!L30="폐업",0,IF(업체현황!L30="휴업",10,0))</f>
        <v/>
      </c>
      <c r="K30">
        <f>SUM(G30:J30)</f>
        <v/>
      </c>
      <c r="L30">
        <f>IF(K30&gt;=70,"고위험",IF(K30&gt;=40,"주의","일반"))</f>
        <v/>
      </c>
      <c r="M30">
        <f>IF(K30&gt;=70,"우선 검토",IF(K30&gt;=40,"모니터링","정기관리"))</f>
        <v/>
      </c>
    </row>
    <row r="31" ht="21" customHeight="1" s="26">
      <c r="A31">
        <f>업체현황!A31</f>
        <v/>
      </c>
      <c r="B31">
        <f>업체현황!B31</f>
        <v/>
      </c>
      <c r="C31">
        <f>업체현황!F31</f>
        <v/>
      </c>
      <c r="D31" s="31">
        <f>SUMIFS(연도별실적!$C$2:$C$401,연도별실적!$A$2:$A$401,A31,연도별실적!$B$2:$B$401,2024)</f>
        <v/>
      </c>
      <c r="E31" s="31">
        <f>SUMIFS(연도별실적!$C$2:$C$401,연도별실적!$A$2:$A$401,A31,연도별실적!$B$2:$B$401,2025)</f>
        <v/>
      </c>
      <c r="F31" s="32">
        <f>IF(D31=0,0,(E31-D31)/D31)</f>
        <v/>
      </c>
      <c r="G31">
        <f>IF(ABS(F31)&gt;=0.6,30,IF(ABS(F31)&gt;=0.35,20,IF(ABS(F31)&gt;=0.2,10,0)))</f>
        <v/>
      </c>
      <c r="H31">
        <f>IF(DATE(2026,10,23)-DATEVALUE(업체현황!O31)&gt;=1095,20,IF(DATE(2026,10,23)-DATEVALUE(업체현황!O31)&gt;=730,15,IF(DATE(2026,10,23)-DATEVALUE(업체현황!O31)&gt;=365,10,0)))</f>
        <v/>
      </c>
      <c r="I31">
        <f>IF(업체현황!P31="중대",30,IF(업체현황!P31="경미",15,0))</f>
        <v/>
      </c>
      <c r="J31">
        <f>IF(업체현황!L31="폐업",0,IF(업체현황!L31="휴업",10,0))</f>
        <v/>
      </c>
      <c r="K31">
        <f>SUM(G31:J31)</f>
        <v/>
      </c>
      <c r="L31">
        <f>IF(K31&gt;=70,"고위험",IF(K31&gt;=40,"주의","일반"))</f>
        <v/>
      </c>
      <c r="M31">
        <f>IF(K31&gt;=70,"우선 검토",IF(K31&gt;=40,"모니터링","정기관리"))</f>
        <v/>
      </c>
    </row>
    <row r="32" ht="21" customHeight="1" s="26">
      <c r="A32">
        <f>업체현황!A32</f>
        <v/>
      </c>
      <c r="B32">
        <f>업체현황!B32</f>
        <v/>
      </c>
      <c r="C32">
        <f>업체현황!F32</f>
        <v/>
      </c>
      <c r="D32" s="31">
        <f>SUMIFS(연도별실적!$C$2:$C$401,연도별실적!$A$2:$A$401,A32,연도별실적!$B$2:$B$401,2024)</f>
        <v/>
      </c>
      <c r="E32" s="31">
        <f>SUMIFS(연도별실적!$C$2:$C$401,연도별실적!$A$2:$A$401,A32,연도별실적!$B$2:$B$401,2025)</f>
        <v/>
      </c>
      <c r="F32" s="32">
        <f>IF(D32=0,0,(E32-D32)/D32)</f>
        <v/>
      </c>
      <c r="G32">
        <f>IF(ABS(F32)&gt;=0.6,30,IF(ABS(F32)&gt;=0.35,20,IF(ABS(F32)&gt;=0.2,10,0)))</f>
        <v/>
      </c>
      <c r="H32">
        <f>IF(DATE(2026,10,23)-DATEVALUE(업체현황!O32)&gt;=1095,20,IF(DATE(2026,10,23)-DATEVALUE(업체현황!O32)&gt;=730,15,IF(DATE(2026,10,23)-DATEVALUE(업체현황!O32)&gt;=365,10,0)))</f>
        <v/>
      </c>
      <c r="I32">
        <f>IF(업체현황!P32="중대",30,IF(업체현황!P32="경미",15,0))</f>
        <v/>
      </c>
      <c r="J32">
        <f>IF(업체현황!L32="폐업",0,IF(업체현황!L32="휴업",10,0))</f>
        <v/>
      </c>
      <c r="K32">
        <f>SUM(G32:J32)</f>
        <v/>
      </c>
      <c r="L32">
        <f>IF(K32&gt;=70,"고위험",IF(K32&gt;=40,"주의","일반"))</f>
        <v/>
      </c>
      <c r="M32">
        <f>IF(K32&gt;=70,"우선 검토",IF(K32&gt;=40,"모니터링","정기관리"))</f>
        <v/>
      </c>
    </row>
    <row r="33" ht="21" customHeight="1" s="26">
      <c r="A33">
        <f>업체현황!A33</f>
        <v/>
      </c>
      <c r="B33">
        <f>업체현황!B33</f>
        <v/>
      </c>
      <c r="C33">
        <f>업체현황!F33</f>
        <v/>
      </c>
      <c r="D33" s="31">
        <f>SUMIFS(연도별실적!$C$2:$C$401,연도별실적!$A$2:$A$401,A33,연도별실적!$B$2:$B$401,2024)</f>
        <v/>
      </c>
      <c r="E33" s="31">
        <f>SUMIFS(연도별실적!$C$2:$C$401,연도별실적!$A$2:$A$401,A33,연도별실적!$B$2:$B$401,2025)</f>
        <v/>
      </c>
      <c r="F33" s="32">
        <f>IF(D33=0,0,(E33-D33)/D33)</f>
        <v/>
      </c>
      <c r="G33">
        <f>IF(ABS(F33)&gt;=0.6,30,IF(ABS(F33)&gt;=0.35,20,IF(ABS(F33)&gt;=0.2,10,0)))</f>
        <v/>
      </c>
      <c r="H33">
        <f>IF(DATE(2026,10,23)-DATEVALUE(업체현황!O33)&gt;=1095,20,IF(DATE(2026,10,23)-DATEVALUE(업체현황!O33)&gt;=730,15,IF(DATE(2026,10,23)-DATEVALUE(업체현황!O33)&gt;=365,10,0)))</f>
        <v/>
      </c>
      <c r="I33">
        <f>IF(업체현황!P33="중대",30,IF(업체현황!P33="경미",15,0))</f>
        <v/>
      </c>
      <c r="J33">
        <f>IF(업체현황!L33="폐업",0,IF(업체현황!L33="휴업",10,0))</f>
        <v/>
      </c>
      <c r="K33">
        <f>SUM(G33:J33)</f>
        <v/>
      </c>
      <c r="L33">
        <f>IF(K33&gt;=70,"고위험",IF(K33&gt;=40,"주의","일반"))</f>
        <v/>
      </c>
      <c r="M33">
        <f>IF(K33&gt;=70,"우선 검토",IF(K33&gt;=40,"모니터링","정기관리"))</f>
        <v/>
      </c>
    </row>
    <row r="34" ht="21" customHeight="1" s="26">
      <c r="A34">
        <f>업체현황!A34</f>
        <v/>
      </c>
      <c r="B34">
        <f>업체현황!B34</f>
        <v/>
      </c>
      <c r="C34">
        <f>업체현황!F34</f>
        <v/>
      </c>
      <c r="D34" s="31">
        <f>SUMIFS(연도별실적!$C$2:$C$401,연도별실적!$A$2:$A$401,A34,연도별실적!$B$2:$B$401,2024)</f>
        <v/>
      </c>
      <c r="E34" s="31">
        <f>SUMIFS(연도별실적!$C$2:$C$401,연도별실적!$A$2:$A$401,A34,연도별실적!$B$2:$B$401,2025)</f>
        <v/>
      </c>
      <c r="F34" s="32">
        <f>IF(D34=0,0,(E34-D34)/D34)</f>
        <v/>
      </c>
      <c r="G34">
        <f>IF(ABS(F34)&gt;=0.6,30,IF(ABS(F34)&gt;=0.35,20,IF(ABS(F34)&gt;=0.2,10,0)))</f>
        <v/>
      </c>
      <c r="H34">
        <f>IF(DATE(2026,10,23)-DATEVALUE(업체현황!O34)&gt;=1095,20,IF(DATE(2026,10,23)-DATEVALUE(업체현황!O34)&gt;=730,15,IF(DATE(2026,10,23)-DATEVALUE(업체현황!O34)&gt;=365,10,0)))</f>
        <v/>
      </c>
      <c r="I34">
        <f>IF(업체현황!P34="중대",30,IF(업체현황!P34="경미",15,0))</f>
        <v/>
      </c>
      <c r="J34">
        <f>IF(업체현황!L34="폐업",0,IF(업체현황!L34="휴업",10,0))</f>
        <v/>
      </c>
      <c r="K34">
        <f>SUM(G34:J34)</f>
        <v/>
      </c>
      <c r="L34">
        <f>IF(K34&gt;=70,"고위험",IF(K34&gt;=40,"주의","일반"))</f>
        <v/>
      </c>
      <c r="M34">
        <f>IF(K34&gt;=70,"우선 검토",IF(K34&gt;=40,"모니터링","정기관리"))</f>
        <v/>
      </c>
    </row>
    <row r="35" ht="21" customHeight="1" s="26">
      <c r="A35">
        <f>업체현황!A35</f>
        <v/>
      </c>
      <c r="B35">
        <f>업체현황!B35</f>
        <v/>
      </c>
      <c r="C35">
        <f>업체현황!F35</f>
        <v/>
      </c>
      <c r="D35" s="31">
        <f>SUMIFS(연도별실적!$C$2:$C$401,연도별실적!$A$2:$A$401,A35,연도별실적!$B$2:$B$401,2024)</f>
        <v/>
      </c>
      <c r="E35" s="31">
        <f>SUMIFS(연도별실적!$C$2:$C$401,연도별실적!$A$2:$A$401,A35,연도별실적!$B$2:$B$401,2025)</f>
        <v/>
      </c>
      <c r="F35" s="32">
        <f>IF(D35=0,0,(E35-D35)/D35)</f>
        <v/>
      </c>
      <c r="G35">
        <f>IF(ABS(F35)&gt;=0.6,30,IF(ABS(F35)&gt;=0.35,20,IF(ABS(F35)&gt;=0.2,10,0)))</f>
        <v/>
      </c>
      <c r="H35">
        <f>IF(DATE(2026,10,23)-DATEVALUE(업체현황!O35)&gt;=1095,20,IF(DATE(2026,10,23)-DATEVALUE(업체현황!O35)&gt;=730,15,IF(DATE(2026,10,23)-DATEVALUE(업체현황!O35)&gt;=365,10,0)))</f>
        <v/>
      </c>
      <c r="I35">
        <f>IF(업체현황!P35="중대",30,IF(업체현황!P35="경미",15,0))</f>
        <v/>
      </c>
      <c r="J35">
        <f>IF(업체현황!L35="폐업",0,IF(업체현황!L35="휴업",10,0))</f>
        <v/>
      </c>
      <c r="K35">
        <f>SUM(G35:J35)</f>
        <v/>
      </c>
      <c r="L35">
        <f>IF(K35&gt;=70,"고위험",IF(K35&gt;=40,"주의","일반"))</f>
        <v/>
      </c>
      <c r="M35">
        <f>IF(K35&gt;=70,"우선 검토",IF(K35&gt;=40,"모니터링","정기관리"))</f>
        <v/>
      </c>
    </row>
    <row r="36" ht="21" customHeight="1" s="26">
      <c r="A36">
        <f>업체현황!A36</f>
        <v/>
      </c>
      <c r="B36">
        <f>업체현황!B36</f>
        <v/>
      </c>
      <c r="C36">
        <f>업체현황!F36</f>
        <v/>
      </c>
      <c r="D36" s="31">
        <f>SUMIFS(연도별실적!$C$2:$C$401,연도별실적!$A$2:$A$401,A36,연도별실적!$B$2:$B$401,2024)</f>
        <v/>
      </c>
      <c r="E36" s="31">
        <f>SUMIFS(연도별실적!$C$2:$C$401,연도별실적!$A$2:$A$401,A36,연도별실적!$B$2:$B$401,2025)</f>
        <v/>
      </c>
      <c r="F36" s="32">
        <f>IF(D36=0,0,(E36-D36)/D36)</f>
        <v/>
      </c>
      <c r="G36">
        <f>IF(ABS(F36)&gt;=0.6,30,IF(ABS(F36)&gt;=0.35,20,IF(ABS(F36)&gt;=0.2,10,0)))</f>
        <v/>
      </c>
      <c r="H36">
        <f>IF(DATE(2026,10,23)-DATEVALUE(업체현황!O36)&gt;=1095,20,IF(DATE(2026,10,23)-DATEVALUE(업체현황!O36)&gt;=730,15,IF(DATE(2026,10,23)-DATEVALUE(업체현황!O36)&gt;=365,10,0)))</f>
        <v/>
      </c>
      <c r="I36">
        <f>IF(업체현황!P36="중대",30,IF(업체현황!P36="경미",15,0))</f>
        <v/>
      </c>
      <c r="J36">
        <f>IF(업체현황!L36="폐업",0,IF(업체현황!L36="휴업",10,0))</f>
        <v/>
      </c>
      <c r="K36">
        <f>SUM(G36:J36)</f>
        <v/>
      </c>
      <c r="L36">
        <f>IF(K36&gt;=70,"고위험",IF(K36&gt;=40,"주의","일반"))</f>
        <v/>
      </c>
      <c r="M36">
        <f>IF(K36&gt;=70,"우선 검토",IF(K36&gt;=40,"모니터링","정기관리"))</f>
        <v/>
      </c>
    </row>
    <row r="37" ht="21" customHeight="1" s="26">
      <c r="A37">
        <f>업체현황!A37</f>
        <v/>
      </c>
      <c r="B37">
        <f>업체현황!B37</f>
        <v/>
      </c>
      <c r="C37">
        <f>업체현황!F37</f>
        <v/>
      </c>
      <c r="D37" s="31">
        <f>SUMIFS(연도별실적!$C$2:$C$401,연도별실적!$A$2:$A$401,A37,연도별실적!$B$2:$B$401,2024)</f>
        <v/>
      </c>
      <c r="E37" s="31">
        <f>SUMIFS(연도별실적!$C$2:$C$401,연도별실적!$A$2:$A$401,A37,연도별실적!$B$2:$B$401,2025)</f>
        <v/>
      </c>
      <c r="F37" s="32">
        <f>IF(D37=0,0,(E37-D37)/D37)</f>
        <v/>
      </c>
      <c r="G37">
        <f>IF(ABS(F37)&gt;=0.6,30,IF(ABS(F37)&gt;=0.35,20,IF(ABS(F37)&gt;=0.2,10,0)))</f>
        <v/>
      </c>
      <c r="H37">
        <f>IF(DATE(2026,10,23)-DATEVALUE(업체현황!O37)&gt;=1095,20,IF(DATE(2026,10,23)-DATEVALUE(업체현황!O37)&gt;=730,15,IF(DATE(2026,10,23)-DATEVALUE(업체현황!O37)&gt;=365,10,0)))</f>
        <v/>
      </c>
      <c r="I37">
        <f>IF(업체현황!P37="중대",30,IF(업체현황!P37="경미",15,0))</f>
        <v/>
      </c>
      <c r="J37">
        <f>IF(업체현황!L37="폐업",0,IF(업체현황!L37="휴업",10,0))</f>
        <v/>
      </c>
      <c r="K37">
        <f>SUM(G37:J37)</f>
        <v/>
      </c>
      <c r="L37">
        <f>IF(K37&gt;=70,"고위험",IF(K37&gt;=40,"주의","일반"))</f>
        <v/>
      </c>
      <c r="M37">
        <f>IF(K37&gt;=70,"우선 검토",IF(K37&gt;=40,"모니터링","정기관리"))</f>
        <v/>
      </c>
    </row>
    <row r="38" ht="21" customHeight="1" s="26">
      <c r="A38">
        <f>업체현황!A38</f>
        <v/>
      </c>
      <c r="B38">
        <f>업체현황!B38</f>
        <v/>
      </c>
      <c r="C38">
        <f>업체현황!F38</f>
        <v/>
      </c>
      <c r="D38" s="31">
        <f>SUMIFS(연도별실적!$C$2:$C$401,연도별실적!$A$2:$A$401,A38,연도별실적!$B$2:$B$401,2024)</f>
        <v/>
      </c>
      <c r="E38" s="31">
        <f>SUMIFS(연도별실적!$C$2:$C$401,연도별실적!$A$2:$A$401,A38,연도별실적!$B$2:$B$401,2025)</f>
        <v/>
      </c>
      <c r="F38" s="32">
        <f>IF(D38=0,0,(E38-D38)/D38)</f>
        <v/>
      </c>
      <c r="G38">
        <f>IF(ABS(F38)&gt;=0.6,30,IF(ABS(F38)&gt;=0.35,20,IF(ABS(F38)&gt;=0.2,10,0)))</f>
        <v/>
      </c>
      <c r="H38">
        <f>IF(DATE(2026,10,23)-DATEVALUE(업체현황!O38)&gt;=1095,20,IF(DATE(2026,10,23)-DATEVALUE(업체현황!O38)&gt;=730,15,IF(DATE(2026,10,23)-DATEVALUE(업체현황!O38)&gt;=365,10,0)))</f>
        <v/>
      </c>
      <c r="I38">
        <f>IF(업체현황!P38="중대",30,IF(업체현황!P38="경미",15,0))</f>
        <v/>
      </c>
      <c r="J38">
        <f>IF(업체현황!L38="폐업",0,IF(업체현황!L38="휴업",10,0))</f>
        <v/>
      </c>
      <c r="K38">
        <f>SUM(G38:J38)</f>
        <v/>
      </c>
      <c r="L38">
        <f>IF(K38&gt;=70,"고위험",IF(K38&gt;=40,"주의","일반"))</f>
        <v/>
      </c>
      <c r="M38">
        <f>IF(K38&gt;=70,"우선 검토",IF(K38&gt;=40,"모니터링","정기관리"))</f>
        <v/>
      </c>
    </row>
    <row r="39" ht="21" customHeight="1" s="26">
      <c r="A39">
        <f>업체현황!A39</f>
        <v/>
      </c>
      <c r="B39">
        <f>업체현황!B39</f>
        <v/>
      </c>
      <c r="C39">
        <f>업체현황!F39</f>
        <v/>
      </c>
      <c r="D39" s="31">
        <f>SUMIFS(연도별실적!$C$2:$C$401,연도별실적!$A$2:$A$401,A39,연도별실적!$B$2:$B$401,2024)</f>
        <v/>
      </c>
      <c r="E39" s="31">
        <f>SUMIFS(연도별실적!$C$2:$C$401,연도별실적!$A$2:$A$401,A39,연도별실적!$B$2:$B$401,2025)</f>
        <v/>
      </c>
      <c r="F39" s="32">
        <f>IF(D39=0,0,(E39-D39)/D39)</f>
        <v/>
      </c>
      <c r="G39">
        <f>IF(ABS(F39)&gt;=0.6,30,IF(ABS(F39)&gt;=0.35,20,IF(ABS(F39)&gt;=0.2,10,0)))</f>
        <v/>
      </c>
      <c r="H39">
        <f>IF(DATE(2026,10,23)-DATEVALUE(업체현황!O39)&gt;=1095,20,IF(DATE(2026,10,23)-DATEVALUE(업체현황!O39)&gt;=730,15,IF(DATE(2026,10,23)-DATEVALUE(업체현황!O39)&gt;=365,10,0)))</f>
        <v/>
      </c>
      <c r="I39">
        <f>IF(업체현황!P39="중대",30,IF(업체현황!P39="경미",15,0))</f>
        <v/>
      </c>
      <c r="J39">
        <f>IF(업체현황!L39="폐업",0,IF(업체현황!L39="휴업",10,0))</f>
        <v/>
      </c>
      <c r="K39">
        <f>SUM(G39:J39)</f>
        <v/>
      </c>
      <c r="L39">
        <f>IF(K39&gt;=70,"고위험",IF(K39&gt;=40,"주의","일반"))</f>
        <v/>
      </c>
      <c r="M39">
        <f>IF(K39&gt;=70,"우선 검토",IF(K39&gt;=40,"모니터링","정기관리"))</f>
        <v/>
      </c>
    </row>
    <row r="40" ht="21" customHeight="1" s="26">
      <c r="A40">
        <f>업체현황!A40</f>
        <v/>
      </c>
      <c r="B40">
        <f>업체현황!B40</f>
        <v/>
      </c>
      <c r="C40">
        <f>업체현황!F40</f>
        <v/>
      </c>
      <c r="D40" s="31">
        <f>SUMIFS(연도별실적!$C$2:$C$401,연도별실적!$A$2:$A$401,A40,연도별실적!$B$2:$B$401,2024)</f>
        <v/>
      </c>
      <c r="E40" s="31">
        <f>SUMIFS(연도별실적!$C$2:$C$401,연도별실적!$A$2:$A$401,A40,연도별실적!$B$2:$B$401,2025)</f>
        <v/>
      </c>
      <c r="F40" s="32">
        <f>IF(D40=0,0,(E40-D40)/D40)</f>
        <v/>
      </c>
      <c r="G40">
        <f>IF(ABS(F40)&gt;=0.6,30,IF(ABS(F40)&gt;=0.35,20,IF(ABS(F40)&gt;=0.2,10,0)))</f>
        <v/>
      </c>
      <c r="H40">
        <f>IF(DATE(2026,10,23)-DATEVALUE(업체현황!O40)&gt;=1095,20,IF(DATE(2026,10,23)-DATEVALUE(업체현황!O40)&gt;=730,15,IF(DATE(2026,10,23)-DATEVALUE(업체현황!O40)&gt;=365,10,0)))</f>
        <v/>
      </c>
      <c r="I40">
        <f>IF(업체현황!P40="중대",30,IF(업체현황!P40="경미",15,0))</f>
        <v/>
      </c>
      <c r="J40">
        <f>IF(업체현황!L40="폐업",0,IF(업체현황!L40="휴업",10,0))</f>
        <v/>
      </c>
      <c r="K40">
        <f>SUM(G40:J40)</f>
        <v/>
      </c>
      <c r="L40">
        <f>IF(K40&gt;=70,"고위험",IF(K40&gt;=40,"주의","일반"))</f>
        <v/>
      </c>
      <c r="M40">
        <f>IF(K40&gt;=70,"우선 검토",IF(K40&gt;=40,"모니터링","정기관리"))</f>
        <v/>
      </c>
    </row>
    <row r="41" ht="21" customHeight="1" s="26">
      <c r="A41">
        <f>업체현황!A41</f>
        <v/>
      </c>
      <c r="B41">
        <f>업체현황!B41</f>
        <v/>
      </c>
      <c r="C41">
        <f>업체현황!F41</f>
        <v/>
      </c>
      <c r="D41" s="31">
        <f>SUMIFS(연도별실적!$C$2:$C$401,연도별실적!$A$2:$A$401,A41,연도별실적!$B$2:$B$401,2024)</f>
        <v/>
      </c>
      <c r="E41" s="31">
        <f>SUMIFS(연도별실적!$C$2:$C$401,연도별실적!$A$2:$A$401,A41,연도별실적!$B$2:$B$401,2025)</f>
        <v/>
      </c>
      <c r="F41" s="32">
        <f>IF(D41=0,0,(E41-D41)/D41)</f>
        <v/>
      </c>
      <c r="G41">
        <f>IF(ABS(F41)&gt;=0.6,30,IF(ABS(F41)&gt;=0.35,20,IF(ABS(F41)&gt;=0.2,10,0)))</f>
        <v/>
      </c>
      <c r="H41">
        <f>IF(DATE(2026,10,23)-DATEVALUE(업체현황!O41)&gt;=1095,20,IF(DATE(2026,10,23)-DATEVALUE(업체현황!O41)&gt;=730,15,IF(DATE(2026,10,23)-DATEVALUE(업체현황!O41)&gt;=365,10,0)))</f>
        <v/>
      </c>
      <c r="I41">
        <f>IF(업체현황!P41="중대",30,IF(업체현황!P41="경미",15,0))</f>
        <v/>
      </c>
      <c r="J41">
        <f>IF(업체현황!L41="폐업",0,IF(업체현황!L41="휴업",10,0))</f>
        <v/>
      </c>
      <c r="K41">
        <f>SUM(G41:J41)</f>
        <v/>
      </c>
      <c r="L41">
        <f>IF(K41&gt;=70,"고위험",IF(K41&gt;=40,"주의","일반"))</f>
        <v/>
      </c>
      <c r="M41">
        <f>IF(K41&gt;=70,"우선 검토",IF(K41&gt;=40,"모니터링","정기관리"))</f>
        <v/>
      </c>
    </row>
    <row r="42" ht="21" customHeight="1" s="26">
      <c r="A42">
        <f>업체현황!A42</f>
        <v/>
      </c>
      <c r="B42">
        <f>업체현황!B42</f>
        <v/>
      </c>
      <c r="C42">
        <f>업체현황!F42</f>
        <v/>
      </c>
      <c r="D42" s="31">
        <f>SUMIFS(연도별실적!$C$2:$C$401,연도별실적!$A$2:$A$401,A42,연도별실적!$B$2:$B$401,2024)</f>
        <v/>
      </c>
      <c r="E42" s="31">
        <f>SUMIFS(연도별실적!$C$2:$C$401,연도별실적!$A$2:$A$401,A42,연도별실적!$B$2:$B$401,2025)</f>
        <v/>
      </c>
      <c r="F42" s="32">
        <f>IF(D42=0,0,(E42-D42)/D42)</f>
        <v/>
      </c>
      <c r="G42">
        <f>IF(ABS(F42)&gt;=0.6,30,IF(ABS(F42)&gt;=0.35,20,IF(ABS(F42)&gt;=0.2,10,0)))</f>
        <v/>
      </c>
      <c r="H42">
        <f>IF(DATE(2026,10,23)-DATEVALUE(업체현황!O42)&gt;=1095,20,IF(DATE(2026,10,23)-DATEVALUE(업체현황!O42)&gt;=730,15,IF(DATE(2026,10,23)-DATEVALUE(업체현황!O42)&gt;=365,10,0)))</f>
        <v/>
      </c>
      <c r="I42">
        <f>IF(업체현황!P42="중대",30,IF(업체현황!P42="경미",15,0))</f>
        <v/>
      </c>
      <c r="J42">
        <f>IF(업체현황!L42="폐업",0,IF(업체현황!L42="휴업",10,0))</f>
        <v/>
      </c>
      <c r="K42">
        <f>SUM(G42:J42)</f>
        <v/>
      </c>
      <c r="L42">
        <f>IF(K42&gt;=70,"고위험",IF(K42&gt;=40,"주의","일반"))</f>
        <v/>
      </c>
      <c r="M42">
        <f>IF(K42&gt;=70,"우선 검토",IF(K42&gt;=40,"모니터링","정기관리"))</f>
        <v/>
      </c>
    </row>
    <row r="43" ht="21" customHeight="1" s="26">
      <c r="A43">
        <f>업체현황!A43</f>
        <v/>
      </c>
      <c r="B43">
        <f>업체현황!B43</f>
        <v/>
      </c>
      <c r="C43">
        <f>업체현황!F43</f>
        <v/>
      </c>
      <c r="D43" s="31">
        <f>SUMIFS(연도별실적!$C$2:$C$401,연도별실적!$A$2:$A$401,A43,연도별실적!$B$2:$B$401,2024)</f>
        <v/>
      </c>
      <c r="E43" s="31">
        <f>SUMIFS(연도별실적!$C$2:$C$401,연도별실적!$A$2:$A$401,A43,연도별실적!$B$2:$B$401,2025)</f>
        <v/>
      </c>
      <c r="F43" s="32">
        <f>IF(D43=0,0,(E43-D43)/D43)</f>
        <v/>
      </c>
      <c r="G43">
        <f>IF(ABS(F43)&gt;=0.6,30,IF(ABS(F43)&gt;=0.35,20,IF(ABS(F43)&gt;=0.2,10,0)))</f>
        <v/>
      </c>
      <c r="H43">
        <f>IF(DATE(2026,10,23)-DATEVALUE(업체현황!O43)&gt;=1095,20,IF(DATE(2026,10,23)-DATEVALUE(업체현황!O43)&gt;=730,15,IF(DATE(2026,10,23)-DATEVALUE(업체현황!O43)&gt;=365,10,0)))</f>
        <v/>
      </c>
      <c r="I43">
        <f>IF(업체현황!P43="중대",30,IF(업체현황!P43="경미",15,0))</f>
        <v/>
      </c>
      <c r="J43">
        <f>IF(업체현황!L43="폐업",0,IF(업체현황!L43="휴업",10,0))</f>
        <v/>
      </c>
      <c r="K43">
        <f>SUM(G43:J43)</f>
        <v/>
      </c>
      <c r="L43">
        <f>IF(K43&gt;=70,"고위험",IF(K43&gt;=40,"주의","일반"))</f>
        <v/>
      </c>
      <c r="M43">
        <f>IF(K43&gt;=70,"우선 검토",IF(K43&gt;=40,"모니터링","정기관리"))</f>
        <v/>
      </c>
    </row>
    <row r="44" ht="21" customHeight="1" s="26">
      <c r="A44">
        <f>업체현황!A44</f>
        <v/>
      </c>
      <c r="B44">
        <f>업체현황!B44</f>
        <v/>
      </c>
      <c r="C44">
        <f>업체현황!F44</f>
        <v/>
      </c>
      <c r="D44" s="31">
        <f>SUMIFS(연도별실적!$C$2:$C$401,연도별실적!$A$2:$A$401,A44,연도별실적!$B$2:$B$401,2024)</f>
        <v/>
      </c>
      <c r="E44" s="31">
        <f>SUMIFS(연도별실적!$C$2:$C$401,연도별실적!$A$2:$A$401,A44,연도별실적!$B$2:$B$401,2025)</f>
        <v/>
      </c>
      <c r="F44" s="32">
        <f>IF(D44=0,0,(E44-D44)/D44)</f>
        <v/>
      </c>
      <c r="G44">
        <f>IF(ABS(F44)&gt;=0.6,30,IF(ABS(F44)&gt;=0.35,20,IF(ABS(F44)&gt;=0.2,10,0)))</f>
        <v/>
      </c>
      <c r="H44">
        <f>IF(DATE(2026,10,23)-DATEVALUE(업체현황!O44)&gt;=1095,20,IF(DATE(2026,10,23)-DATEVALUE(업체현황!O44)&gt;=730,15,IF(DATE(2026,10,23)-DATEVALUE(업체현황!O44)&gt;=365,10,0)))</f>
        <v/>
      </c>
      <c r="I44">
        <f>IF(업체현황!P44="중대",30,IF(업체현황!P44="경미",15,0))</f>
        <v/>
      </c>
      <c r="J44">
        <f>IF(업체현황!L44="폐업",0,IF(업체현황!L44="휴업",10,0))</f>
        <v/>
      </c>
      <c r="K44">
        <f>SUM(G44:J44)</f>
        <v/>
      </c>
      <c r="L44">
        <f>IF(K44&gt;=70,"고위험",IF(K44&gt;=40,"주의","일반"))</f>
        <v/>
      </c>
      <c r="M44">
        <f>IF(K44&gt;=70,"우선 검토",IF(K44&gt;=40,"모니터링","정기관리"))</f>
        <v/>
      </c>
    </row>
    <row r="45" ht="21" customHeight="1" s="26">
      <c r="A45">
        <f>업체현황!A45</f>
        <v/>
      </c>
      <c r="B45">
        <f>업체현황!B45</f>
        <v/>
      </c>
      <c r="C45">
        <f>업체현황!F45</f>
        <v/>
      </c>
      <c r="D45" s="31">
        <f>SUMIFS(연도별실적!$C$2:$C$401,연도별실적!$A$2:$A$401,A45,연도별실적!$B$2:$B$401,2024)</f>
        <v/>
      </c>
      <c r="E45" s="31">
        <f>SUMIFS(연도별실적!$C$2:$C$401,연도별실적!$A$2:$A$401,A45,연도별실적!$B$2:$B$401,2025)</f>
        <v/>
      </c>
      <c r="F45" s="32">
        <f>IF(D45=0,0,(E45-D45)/D45)</f>
        <v/>
      </c>
      <c r="G45">
        <f>IF(ABS(F45)&gt;=0.6,30,IF(ABS(F45)&gt;=0.35,20,IF(ABS(F45)&gt;=0.2,10,0)))</f>
        <v/>
      </c>
      <c r="H45">
        <f>IF(DATE(2026,10,23)-DATEVALUE(업체현황!O45)&gt;=1095,20,IF(DATE(2026,10,23)-DATEVALUE(업체현황!O45)&gt;=730,15,IF(DATE(2026,10,23)-DATEVALUE(업체현황!O45)&gt;=365,10,0)))</f>
        <v/>
      </c>
      <c r="I45">
        <f>IF(업체현황!P45="중대",30,IF(업체현황!P45="경미",15,0))</f>
        <v/>
      </c>
      <c r="J45">
        <f>IF(업체현황!L45="폐업",0,IF(업체현황!L45="휴업",10,0))</f>
        <v/>
      </c>
      <c r="K45">
        <f>SUM(G45:J45)</f>
        <v/>
      </c>
      <c r="L45">
        <f>IF(K45&gt;=70,"고위험",IF(K45&gt;=40,"주의","일반"))</f>
        <v/>
      </c>
      <c r="M45">
        <f>IF(K45&gt;=70,"우선 검토",IF(K45&gt;=40,"모니터링","정기관리"))</f>
        <v/>
      </c>
    </row>
    <row r="46" ht="21" customHeight="1" s="26">
      <c r="A46">
        <f>업체현황!A46</f>
        <v/>
      </c>
      <c r="B46">
        <f>업체현황!B46</f>
        <v/>
      </c>
      <c r="C46">
        <f>업체현황!F46</f>
        <v/>
      </c>
      <c r="D46" s="31">
        <f>SUMIFS(연도별실적!$C$2:$C$401,연도별실적!$A$2:$A$401,A46,연도별실적!$B$2:$B$401,2024)</f>
        <v/>
      </c>
      <c r="E46" s="31">
        <f>SUMIFS(연도별실적!$C$2:$C$401,연도별실적!$A$2:$A$401,A46,연도별실적!$B$2:$B$401,2025)</f>
        <v/>
      </c>
      <c r="F46" s="32">
        <f>IF(D46=0,0,(E46-D46)/D46)</f>
        <v/>
      </c>
      <c r="G46">
        <f>IF(ABS(F46)&gt;=0.6,30,IF(ABS(F46)&gt;=0.35,20,IF(ABS(F46)&gt;=0.2,10,0)))</f>
        <v/>
      </c>
      <c r="H46">
        <f>IF(DATE(2026,10,23)-DATEVALUE(업체현황!O46)&gt;=1095,20,IF(DATE(2026,10,23)-DATEVALUE(업체현황!O46)&gt;=730,15,IF(DATE(2026,10,23)-DATEVALUE(업체현황!O46)&gt;=365,10,0)))</f>
        <v/>
      </c>
      <c r="I46">
        <f>IF(업체현황!P46="중대",30,IF(업체현황!P46="경미",15,0))</f>
        <v/>
      </c>
      <c r="J46">
        <f>IF(업체현황!L46="폐업",0,IF(업체현황!L46="휴업",10,0))</f>
        <v/>
      </c>
      <c r="K46">
        <f>SUM(G46:J46)</f>
        <v/>
      </c>
      <c r="L46">
        <f>IF(K46&gt;=70,"고위험",IF(K46&gt;=40,"주의","일반"))</f>
        <v/>
      </c>
      <c r="M46">
        <f>IF(K46&gt;=70,"우선 검토",IF(K46&gt;=40,"모니터링","정기관리"))</f>
        <v/>
      </c>
    </row>
    <row r="47" ht="21" customHeight="1" s="26">
      <c r="A47">
        <f>업체현황!A47</f>
        <v/>
      </c>
      <c r="B47">
        <f>업체현황!B47</f>
        <v/>
      </c>
      <c r="C47">
        <f>업체현황!F47</f>
        <v/>
      </c>
      <c r="D47" s="31">
        <f>SUMIFS(연도별실적!$C$2:$C$401,연도별실적!$A$2:$A$401,A47,연도별실적!$B$2:$B$401,2024)</f>
        <v/>
      </c>
      <c r="E47" s="31">
        <f>SUMIFS(연도별실적!$C$2:$C$401,연도별실적!$A$2:$A$401,A47,연도별실적!$B$2:$B$401,2025)</f>
        <v/>
      </c>
      <c r="F47" s="32">
        <f>IF(D47=0,0,(E47-D47)/D47)</f>
        <v/>
      </c>
      <c r="G47">
        <f>IF(ABS(F47)&gt;=0.6,30,IF(ABS(F47)&gt;=0.35,20,IF(ABS(F47)&gt;=0.2,10,0)))</f>
        <v/>
      </c>
      <c r="H47">
        <f>IF(DATE(2026,10,23)-DATEVALUE(업체현황!O47)&gt;=1095,20,IF(DATE(2026,10,23)-DATEVALUE(업체현황!O47)&gt;=730,15,IF(DATE(2026,10,23)-DATEVALUE(업체현황!O47)&gt;=365,10,0)))</f>
        <v/>
      </c>
      <c r="I47">
        <f>IF(업체현황!P47="중대",30,IF(업체현황!P47="경미",15,0))</f>
        <v/>
      </c>
      <c r="J47">
        <f>IF(업체현황!L47="폐업",0,IF(업체현황!L47="휴업",10,0))</f>
        <v/>
      </c>
      <c r="K47">
        <f>SUM(G47:J47)</f>
        <v/>
      </c>
      <c r="L47">
        <f>IF(K47&gt;=70,"고위험",IF(K47&gt;=40,"주의","일반"))</f>
        <v/>
      </c>
      <c r="M47">
        <f>IF(K47&gt;=70,"우선 검토",IF(K47&gt;=40,"모니터링","정기관리"))</f>
        <v/>
      </c>
    </row>
    <row r="48" ht="21" customHeight="1" s="26">
      <c r="A48">
        <f>업체현황!A48</f>
        <v/>
      </c>
      <c r="B48">
        <f>업체현황!B48</f>
        <v/>
      </c>
      <c r="C48">
        <f>업체현황!F48</f>
        <v/>
      </c>
      <c r="D48" s="31">
        <f>SUMIFS(연도별실적!$C$2:$C$401,연도별실적!$A$2:$A$401,A48,연도별실적!$B$2:$B$401,2024)</f>
        <v/>
      </c>
      <c r="E48" s="31">
        <f>SUMIFS(연도별실적!$C$2:$C$401,연도별실적!$A$2:$A$401,A48,연도별실적!$B$2:$B$401,2025)</f>
        <v/>
      </c>
      <c r="F48" s="32">
        <f>IF(D48=0,0,(E48-D48)/D48)</f>
        <v/>
      </c>
      <c r="G48">
        <f>IF(ABS(F48)&gt;=0.6,30,IF(ABS(F48)&gt;=0.35,20,IF(ABS(F48)&gt;=0.2,10,0)))</f>
        <v/>
      </c>
      <c r="H48">
        <f>IF(DATE(2026,10,23)-DATEVALUE(업체현황!O48)&gt;=1095,20,IF(DATE(2026,10,23)-DATEVALUE(업체현황!O48)&gt;=730,15,IF(DATE(2026,10,23)-DATEVALUE(업체현황!O48)&gt;=365,10,0)))</f>
        <v/>
      </c>
      <c r="I48">
        <f>IF(업체현황!P48="중대",30,IF(업체현황!P48="경미",15,0))</f>
        <v/>
      </c>
      <c r="J48">
        <f>IF(업체현황!L48="폐업",0,IF(업체현황!L48="휴업",10,0))</f>
        <v/>
      </c>
      <c r="K48">
        <f>SUM(G48:J48)</f>
        <v/>
      </c>
      <c r="L48">
        <f>IF(K48&gt;=70,"고위험",IF(K48&gt;=40,"주의","일반"))</f>
        <v/>
      </c>
      <c r="M48">
        <f>IF(K48&gt;=70,"우선 검토",IF(K48&gt;=40,"모니터링","정기관리"))</f>
        <v/>
      </c>
    </row>
    <row r="49" ht="21" customHeight="1" s="26">
      <c r="A49">
        <f>업체현황!A49</f>
        <v/>
      </c>
      <c r="B49">
        <f>업체현황!B49</f>
        <v/>
      </c>
      <c r="C49">
        <f>업체현황!F49</f>
        <v/>
      </c>
      <c r="D49" s="31">
        <f>SUMIFS(연도별실적!$C$2:$C$401,연도별실적!$A$2:$A$401,A49,연도별실적!$B$2:$B$401,2024)</f>
        <v/>
      </c>
      <c r="E49" s="31">
        <f>SUMIFS(연도별실적!$C$2:$C$401,연도별실적!$A$2:$A$401,A49,연도별실적!$B$2:$B$401,2025)</f>
        <v/>
      </c>
      <c r="F49" s="32">
        <f>IF(D49=0,0,(E49-D49)/D49)</f>
        <v/>
      </c>
      <c r="G49">
        <f>IF(ABS(F49)&gt;=0.6,30,IF(ABS(F49)&gt;=0.35,20,IF(ABS(F49)&gt;=0.2,10,0)))</f>
        <v/>
      </c>
      <c r="H49">
        <f>IF(DATE(2026,10,23)-DATEVALUE(업체현황!O49)&gt;=1095,20,IF(DATE(2026,10,23)-DATEVALUE(업체현황!O49)&gt;=730,15,IF(DATE(2026,10,23)-DATEVALUE(업체현황!O49)&gt;=365,10,0)))</f>
        <v/>
      </c>
      <c r="I49">
        <f>IF(업체현황!P49="중대",30,IF(업체현황!P49="경미",15,0))</f>
        <v/>
      </c>
      <c r="J49">
        <f>IF(업체현황!L49="폐업",0,IF(업체현황!L49="휴업",10,0))</f>
        <v/>
      </c>
      <c r="K49">
        <f>SUM(G49:J49)</f>
        <v/>
      </c>
      <c r="L49">
        <f>IF(K49&gt;=70,"고위험",IF(K49&gt;=40,"주의","일반"))</f>
        <v/>
      </c>
      <c r="M49">
        <f>IF(K49&gt;=70,"우선 검토",IF(K49&gt;=40,"모니터링","정기관리"))</f>
        <v/>
      </c>
    </row>
    <row r="50" ht="21" customHeight="1" s="26">
      <c r="A50">
        <f>업체현황!A50</f>
        <v/>
      </c>
      <c r="B50">
        <f>업체현황!B50</f>
        <v/>
      </c>
      <c r="C50">
        <f>업체현황!F50</f>
        <v/>
      </c>
      <c r="D50" s="31">
        <f>SUMIFS(연도별실적!$C$2:$C$401,연도별실적!$A$2:$A$401,A50,연도별실적!$B$2:$B$401,2024)</f>
        <v/>
      </c>
      <c r="E50" s="31">
        <f>SUMIFS(연도별실적!$C$2:$C$401,연도별실적!$A$2:$A$401,A50,연도별실적!$B$2:$B$401,2025)</f>
        <v/>
      </c>
      <c r="F50" s="32">
        <f>IF(D50=0,0,(E50-D50)/D50)</f>
        <v/>
      </c>
      <c r="G50">
        <f>IF(ABS(F50)&gt;=0.6,30,IF(ABS(F50)&gt;=0.35,20,IF(ABS(F50)&gt;=0.2,10,0)))</f>
        <v/>
      </c>
      <c r="H50">
        <f>IF(DATE(2026,10,23)-DATEVALUE(업체현황!O50)&gt;=1095,20,IF(DATE(2026,10,23)-DATEVALUE(업체현황!O50)&gt;=730,15,IF(DATE(2026,10,23)-DATEVALUE(업체현황!O50)&gt;=365,10,0)))</f>
        <v/>
      </c>
      <c r="I50">
        <f>IF(업체현황!P50="중대",30,IF(업체현황!P50="경미",15,0))</f>
        <v/>
      </c>
      <c r="J50">
        <f>IF(업체현황!L50="폐업",0,IF(업체현황!L50="휴업",10,0))</f>
        <v/>
      </c>
      <c r="K50">
        <f>SUM(G50:J50)</f>
        <v/>
      </c>
      <c r="L50">
        <f>IF(K50&gt;=70,"고위험",IF(K50&gt;=40,"주의","일반"))</f>
        <v/>
      </c>
      <c r="M50">
        <f>IF(K50&gt;=70,"우선 검토",IF(K50&gt;=40,"모니터링","정기관리"))</f>
        <v/>
      </c>
    </row>
    <row r="51" ht="21" customHeight="1" s="26">
      <c r="A51">
        <f>업체현황!A51</f>
        <v/>
      </c>
      <c r="B51">
        <f>업체현황!B51</f>
        <v/>
      </c>
      <c r="C51">
        <f>업체현황!F51</f>
        <v/>
      </c>
      <c r="D51" s="31">
        <f>SUMIFS(연도별실적!$C$2:$C$401,연도별실적!$A$2:$A$401,A51,연도별실적!$B$2:$B$401,2024)</f>
        <v/>
      </c>
      <c r="E51" s="31">
        <f>SUMIFS(연도별실적!$C$2:$C$401,연도별실적!$A$2:$A$401,A51,연도별실적!$B$2:$B$401,2025)</f>
        <v/>
      </c>
      <c r="F51" s="32">
        <f>IF(D51=0,0,(E51-D51)/D51)</f>
        <v/>
      </c>
      <c r="G51">
        <f>IF(ABS(F51)&gt;=0.6,30,IF(ABS(F51)&gt;=0.35,20,IF(ABS(F51)&gt;=0.2,10,0)))</f>
        <v/>
      </c>
      <c r="H51">
        <f>IF(DATE(2026,10,23)-DATEVALUE(업체현황!O51)&gt;=1095,20,IF(DATE(2026,10,23)-DATEVALUE(업체현황!O51)&gt;=730,15,IF(DATE(2026,10,23)-DATEVALUE(업체현황!O51)&gt;=365,10,0)))</f>
        <v/>
      </c>
      <c r="I51">
        <f>IF(업체현황!P51="중대",30,IF(업체현황!P51="경미",15,0))</f>
        <v/>
      </c>
      <c r="J51">
        <f>IF(업체현황!L51="폐업",0,IF(업체현황!L51="휴업",10,0))</f>
        <v/>
      </c>
      <c r="K51">
        <f>SUM(G51:J51)</f>
        <v/>
      </c>
      <c r="L51">
        <f>IF(K51&gt;=70,"고위험",IF(K51&gt;=40,"주의","일반"))</f>
        <v/>
      </c>
      <c r="M51">
        <f>IF(K51&gt;=70,"우선 검토",IF(K51&gt;=40,"모니터링","정기관리"))</f>
        <v/>
      </c>
    </row>
    <row r="52" ht="21" customHeight="1" s="26">
      <c r="A52">
        <f>업체현황!A52</f>
        <v/>
      </c>
      <c r="B52">
        <f>업체현황!B52</f>
        <v/>
      </c>
      <c r="C52">
        <f>업체현황!F52</f>
        <v/>
      </c>
      <c r="D52" s="31">
        <f>SUMIFS(연도별실적!$C$2:$C$401,연도별실적!$A$2:$A$401,A52,연도별실적!$B$2:$B$401,2024)</f>
        <v/>
      </c>
      <c r="E52" s="31">
        <f>SUMIFS(연도별실적!$C$2:$C$401,연도별실적!$A$2:$A$401,A52,연도별실적!$B$2:$B$401,2025)</f>
        <v/>
      </c>
      <c r="F52" s="32">
        <f>IF(D52=0,0,(E52-D52)/D52)</f>
        <v/>
      </c>
      <c r="G52">
        <f>IF(ABS(F52)&gt;=0.6,30,IF(ABS(F52)&gt;=0.35,20,IF(ABS(F52)&gt;=0.2,10,0)))</f>
        <v/>
      </c>
      <c r="H52">
        <f>IF(DATE(2026,10,23)-DATEVALUE(업체현황!O52)&gt;=1095,20,IF(DATE(2026,10,23)-DATEVALUE(업체현황!O52)&gt;=730,15,IF(DATE(2026,10,23)-DATEVALUE(업체현황!O52)&gt;=365,10,0)))</f>
        <v/>
      </c>
      <c r="I52">
        <f>IF(업체현황!P52="중대",30,IF(업체현황!P52="경미",15,0))</f>
        <v/>
      </c>
      <c r="J52">
        <f>IF(업체현황!L52="폐업",0,IF(업체현황!L52="휴업",10,0))</f>
        <v/>
      </c>
      <c r="K52">
        <f>SUM(G52:J52)</f>
        <v/>
      </c>
      <c r="L52">
        <f>IF(K52&gt;=70,"고위험",IF(K52&gt;=40,"주의","일반"))</f>
        <v/>
      </c>
      <c r="M52">
        <f>IF(K52&gt;=70,"우선 검토",IF(K52&gt;=40,"모니터링","정기관리"))</f>
        <v/>
      </c>
    </row>
    <row r="53" ht="21" customHeight="1" s="26">
      <c r="A53">
        <f>업체현황!A53</f>
        <v/>
      </c>
      <c r="B53">
        <f>업체현황!B53</f>
        <v/>
      </c>
      <c r="C53">
        <f>업체현황!F53</f>
        <v/>
      </c>
      <c r="D53" s="31">
        <f>SUMIFS(연도별실적!$C$2:$C$401,연도별실적!$A$2:$A$401,A53,연도별실적!$B$2:$B$401,2024)</f>
        <v/>
      </c>
      <c r="E53" s="31">
        <f>SUMIFS(연도별실적!$C$2:$C$401,연도별실적!$A$2:$A$401,A53,연도별실적!$B$2:$B$401,2025)</f>
        <v/>
      </c>
      <c r="F53" s="32">
        <f>IF(D53=0,0,(E53-D53)/D53)</f>
        <v/>
      </c>
      <c r="G53">
        <f>IF(ABS(F53)&gt;=0.6,30,IF(ABS(F53)&gt;=0.35,20,IF(ABS(F53)&gt;=0.2,10,0)))</f>
        <v/>
      </c>
      <c r="H53">
        <f>IF(DATE(2026,10,23)-DATEVALUE(업체현황!O53)&gt;=1095,20,IF(DATE(2026,10,23)-DATEVALUE(업체현황!O53)&gt;=730,15,IF(DATE(2026,10,23)-DATEVALUE(업체현황!O53)&gt;=365,10,0)))</f>
        <v/>
      </c>
      <c r="I53">
        <f>IF(업체현황!P53="중대",30,IF(업체현황!P53="경미",15,0))</f>
        <v/>
      </c>
      <c r="J53">
        <f>IF(업체현황!L53="폐업",0,IF(업체현황!L53="휴업",10,0))</f>
        <v/>
      </c>
      <c r="K53">
        <f>SUM(G53:J53)</f>
        <v/>
      </c>
      <c r="L53">
        <f>IF(K53&gt;=70,"고위험",IF(K53&gt;=40,"주의","일반"))</f>
        <v/>
      </c>
      <c r="M53">
        <f>IF(K53&gt;=70,"우선 검토",IF(K53&gt;=40,"모니터링","정기관리"))</f>
        <v/>
      </c>
    </row>
    <row r="54" ht="21" customHeight="1" s="26">
      <c r="A54">
        <f>업체현황!A54</f>
        <v/>
      </c>
      <c r="B54">
        <f>업체현황!B54</f>
        <v/>
      </c>
      <c r="C54">
        <f>업체현황!F54</f>
        <v/>
      </c>
      <c r="D54" s="31">
        <f>SUMIFS(연도별실적!$C$2:$C$401,연도별실적!$A$2:$A$401,A54,연도별실적!$B$2:$B$401,2024)</f>
        <v/>
      </c>
      <c r="E54" s="31">
        <f>SUMIFS(연도별실적!$C$2:$C$401,연도별실적!$A$2:$A$401,A54,연도별실적!$B$2:$B$401,2025)</f>
        <v/>
      </c>
      <c r="F54" s="32">
        <f>IF(D54=0,0,(E54-D54)/D54)</f>
        <v/>
      </c>
      <c r="G54">
        <f>IF(ABS(F54)&gt;=0.6,30,IF(ABS(F54)&gt;=0.35,20,IF(ABS(F54)&gt;=0.2,10,0)))</f>
        <v/>
      </c>
      <c r="H54">
        <f>IF(DATE(2026,10,23)-DATEVALUE(업체현황!O54)&gt;=1095,20,IF(DATE(2026,10,23)-DATEVALUE(업체현황!O54)&gt;=730,15,IF(DATE(2026,10,23)-DATEVALUE(업체현황!O54)&gt;=365,10,0)))</f>
        <v/>
      </c>
      <c r="I54">
        <f>IF(업체현황!P54="중대",30,IF(업체현황!P54="경미",15,0))</f>
        <v/>
      </c>
      <c r="J54">
        <f>IF(업체현황!L54="폐업",0,IF(업체현황!L54="휴업",10,0))</f>
        <v/>
      </c>
      <c r="K54">
        <f>SUM(G54:J54)</f>
        <v/>
      </c>
      <c r="L54">
        <f>IF(K54&gt;=70,"고위험",IF(K54&gt;=40,"주의","일반"))</f>
        <v/>
      </c>
      <c r="M54">
        <f>IF(K54&gt;=70,"우선 검토",IF(K54&gt;=40,"모니터링","정기관리"))</f>
        <v/>
      </c>
    </row>
    <row r="55" ht="21" customHeight="1" s="26">
      <c r="A55">
        <f>업체현황!A55</f>
        <v/>
      </c>
      <c r="B55">
        <f>업체현황!B55</f>
        <v/>
      </c>
      <c r="C55">
        <f>업체현황!F55</f>
        <v/>
      </c>
      <c r="D55" s="31">
        <f>SUMIFS(연도별실적!$C$2:$C$401,연도별실적!$A$2:$A$401,A55,연도별실적!$B$2:$B$401,2024)</f>
        <v/>
      </c>
      <c r="E55" s="31">
        <f>SUMIFS(연도별실적!$C$2:$C$401,연도별실적!$A$2:$A$401,A55,연도별실적!$B$2:$B$401,2025)</f>
        <v/>
      </c>
      <c r="F55" s="32">
        <f>IF(D55=0,0,(E55-D55)/D55)</f>
        <v/>
      </c>
      <c r="G55">
        <f>IF(ABS(F55)&gt;=0.6,30,IF(ABS(F55)&gt;=0.35,20,IF(ABS(F55)&gt;=0.2,10,0)))</f>
        <v/>
      </c>
      <c r="H55">
        <f>IF(DATE(2026,10,23)-DATEVALUE(업체현황!O55)&gt;=1095,20,IF(DATE(2026,10,23)-DATEVALUE(업체현황!O55)&gt;=730,15,IF(DATE(2026,10,23)-DATEVALUE(업체현황!O55)&gt;=365,10,0)))</f>
        <v/>
      </c>
      <c r="I55">
        <f>IF(업체현황!P55="중대",30,IF(업체현황!P55="경미",15,0))</f>
        <v/>
      </c>
      <c r="J55">
        <f>IF(업체현황!L55="폐업",0,IF(업체현황!L55="휴업",10,0))</f>
        <v/>
      </c>
      <c r="K55">
        <f>SUM(G55:J55)</f>
        <v/>
      </c>
      <c r="L55">
        <f>IF(K55&gt;=70,"고위험",IF(K55&gt;=40,"주의","일반"))</f>
        <v/>
      </c>
      <c r="M55">
        <f>IF(K55&gt;=70,"우선 검토",IF(K55&gt;=40,"모니터링","정기관리"))</f>
        <v/>
      </c>
    </row>
    <row r="56" ht="21" customHeight="1" s="26">
      <c r="A56">
        <f>업체현황!A56</f>
        <v/>
      </c>
      <c r="B56">
        <f>업체현황!B56</f>
        <v/>
      </c>
      <c r="C56">
        <f>업체현황!F56</f>
        <v/>
      </c>
      <c r="D56" s="31">
        <f>SUMIFS(연도별실적!$C$2:$C$401,연도별실적!$A$2:$A$401,A56,연도별실적!$B$2:$B$401,2024)</f>
        <v/>
      </c>
      <c r="E56" s="31">
        <f>SUMIFS(연도별실적!$C$2:$C$401,연도별실적!$A$2:$A$401,A56,연도별실적!$B$2:$B$401,2025)</f>
        <v/>
      </c>
      <c r="F56" s="32">
        <f>IF(D56=0,0,(E56-D56)/D56)</f>
        <v/>
      </c>
      <c r="G56">
        <f>IF(ABS(F56)&gt;=0.6,30,IF(ABS(F56)&gt;=0.35,20,IF(ABS(F56)&gt;=0.2,10,0)))</f>
        <v/>
      </c>
      <c r="H56">
        <f>IF(DATE(2026,10,23)-DATEVALUE(업체현황!O56)&gt;=1095,20,IF(DATE(2026,10,23)-DATEVALUE(업체현황!O56)&gt;=730,15,IF(DATE(2026,10,23)-DATEVALUE(업체현황!O56)&gt;=365,10,0)))</f>
        <v/>
      </c>
      <c r="I56">
        <f>IF(업체현황!P56="중대",30,IF(업체현황!P56="경미",15,0))</f>
        <v/>
      </c>
      <c r="J56">
        <f>IF(업체현황!L56="폐업",0,IF(업체현황!L56="휴업",10,0))</f>
        <v/>
      </c>
      <c r="K56">
        <f>SUM(G56:J56)</f>
        <v/>
      </c>
      <c r="L56">
        <f>IF(K56&gt;=70,"고위험",IF(K56&gt;=40,"주의","일반"))</f>
        <v/>
      </c>
      <c r="M56">
        <f>IF(K56&gt;=70,"우선 검토",IF(K56&gt;=40,"모니터링","정기관리"))</f>
        <v/>
      </c>
    </row>
    <row r="57" ht="21" customHeight="1" s="26">
      <c r="A57">
        <f>업체현황!A57</f>
        <v/>
      </c>
      <c r="B57">
        <f>업체현황!B57</f>
        <v/>
      </c>
      <c r="C57">
        <f>업체현황!F57</f>
        <v/>
      </c>
      <c r="D57" s="31">
        <f>SUMIFS(연도별실적!$C$2:$C$401,연도별실적!$A$2:$A$401,A57,연도별실적!$B$2:$B$401,2024)</f>
        <v/>
      </c>
      <c r="E57" s="31">
        <f>SUMIFS(연도별실적!$C$2:$C$401,연도별실적!$A$2:$A$401,A57,연도별실적!$B$2:$B$401,2025)</f>
        <v/>
      </c>
      <c r="F57" s="32">
        <f>IF(D57=0,0,(E57-D57)/D57)</f>
        <v/>
      </c>
      <c r="G57">
        <f>IF(ABS(F57)&gt;=0.6,30,IF(ABS(F57)&gt;=0.35,20,IF(ABS(F57)&gt;=0.2,10,0)))</f>
        <v/>
      </c>
      <c r="H57">
        <f>IF(DATE(2026,10,23)-DATEVALUE(업체현황!O57)&gt;=1095,20,IF(DATE(2026,10,23)-DATEVALUE(업체현황!O57)&gt;=730,15,IF(DATE(2026,10,23)-DATEVALUE(업체현황!O57)&gt;=365,10,0)))</f>
        <v/>
      </c>
      <c r="I57">
        <f>IF(업체현황!P57="중대",30,IF(업체현황!P57="경미",15,0))</f>
        <v/>
      </c>
      <c r="J57">
        <f>IF(업체현황!L57="폐업",0,IF(업체현황!L57="휴업",10,0))</f>
        <v/>
      </c>
      <c r="K57">
        <f>SUM(G57:J57)</f>
        <v/>
      </c>
      <c r="L57">
        <f>IF(K57&gt;=70,"고위험",IF(K57&gt;=40,"주의","일반"))</f>
        <v/>
      </c>
      <c r="M57">
        <f>IF(K57&gt;=70,"우선 검토",IF(K57&gt;=40,"모니터링","정기관리"))</f>
        <v/>
      </c>
    </row>
    <row r="58" ht="21" customHeight="1" s="26">
      <c r="A58">
        <f>업체현황!A58</f>
        <v/>
      </c>
      <c r="B58">
        <f>업체현황!B58</f>
        <v/>
      </c>
      <c r="C58">
        <f>업체현황!F58</f>
        <v/>
      </c>
      <c r="D58" s="31">
        <f>SUMIFS(연도별실적!$C$2:$C$401,연도별실적!$A$2:$A$401,A58,연도별실적!$B$2:$B$401,2024)</f>
        <v/>
      </c>
      <c r="E58" s="31">
        <f>SUMIFS(연도별실적!$C$2:$C$401,연도별실적!$A$2:$A$401,A58,연도별실적!$B$2:$B$401,2025)</f>
        <v/>
      </c>
      <c r="F58" s="32">
        <f>IF(D58=0,0,(E58-D58)/D58)</f>
        <v/>
      </c>
      <c r="G58">
        <f>IF(ABS(F58)&gt;=0.6,30,IF(ABS(F58)&gt;=0.35,20,IF(ABS(F58)&gt;=0.2,10,0)))</f>
        <v/>
      </c>
      <c r="H58">
        <f>IF(DATE(2026,10,23)-DATEVALUE(업체현황!O58)&gt;=1095,20,IF(DATE(2026,10,23)-DATEVALUE(업체현황!O58)&gt;=730,15,IF(DATE(2026,10,23)-DATEVALUE(업체현황!O58)&gt;=365,10,0)))</f>
        <v/>
      </c>
      <c r="I58">
        <f>IF(업체현황!P58="중대",30,IF(업체현황!P58="경미",15,0))</f>
        <v/>
      </c>
      <c r="J58">
        <f>IF(업체현황!L58="폐업",0,IF(업체현황!L58="휴업",10,0))</f>
        <v/>
      </c>
      <c r="K58">
        <f>SUM(G58:J58)</f>
        <v/>
      </c>
      <c r="L58">
        <f>IF(K58&gt;=70,"고위험",IF(K58&gt;=40,"주의","일반"))</f>
        <v/>
      </c>
      <c r="M58">
        <f>IF(K58&gt;=70,"우선 검토",IF(K58&gt;=40,"모니터링","정기관리"))</f>
        <v/>
      </c>
    </row>
    <row r="59" ht="21" customHeight="1" s="26">
      <c r="A59">
        <f>업체현황!A59</f>
        <v/>
      </c>
      <c r="B59">
        <f>업체현황!B59</f>
        <v/>
      </c>
      <c r="C59">
        <f>업체현황!F59</f>
        <v/>
      </c>
      <c r="D59" s="31">
        <f>SUMIFS(연도별실적!$C$2:$C$401,연도별실적!$A$2:$A$401,A59,연도별실적!$B$2:$B$401,2024)</f>
        <v/>
      </c>
      <c r="E59" s="31">
        <f>SUMIFS(연도별실적!$C$2:$C$401,연도별실적!$A$2:$A$401,A59,연도별실적!$B$2:$B$401,2025)</f>
        <v/>
      </c>
      <c r="F59" s="32">
        <f>IF(D59=0,0,(E59-D59)/D59)</f>
        <v/>
      </c>
      <c r="G59">
        <f>IF(ABS(F59)&gt;=0.6,30,IF(ABS(F59)&gt;=0.35,20,IF(ABS(F59)&gt;=0.2,10,0)))</f>
        <v/>
      </c>
      <c r="H59">
        <f>IF(DATE(2026,10,23)-DATEVALUE(업체현황!O59)&gt;=1095,20,IF(DATE(2026,10,23)-DATEVALUE(업체현황!O59)&gt;=730,15,IF(DATE(2026,10,23)-DATEVALUE(업체현황!O59)&gt;=365,10,0)))</f>
        <v/>
      </c>
      <c r="I59">
        <f>IF(업체현황!P59="중대",30,IF(업체현황!P59="경미",15,0))</f>
        <v/>
      </c>
      <c r="J59">
        <f>IF(업체현황!L59="폐업",0,IF(업체현황!L59="휴업",10,0))</f>
        <v/>
      </c>
      <c r="K59">
        <f>SUM(G59:J59)</f>
        <v/>
      </c>
      <c r="L59">
        <f>IF(K59&gt;=70,"고위험",IF(K59&gt;=40,"주의","일반"))</f>
        <v/>
      </c>
      <c r="M59">
        <f>IF(K59&gt;=70,"우선 검토",IF(K59&gt;=40,"모니터링","정기관리"))</f>
        <v/>
      </c>
    </row>
    <row r="60" ht="21" customHeight="1" s="26">
      <c r="A60">
        <f>업체현황!A60</f>
        <v/>
      </c>
      <c r="B60">
        <f>업체현황!B60</f>
        <v/>
      </c>
      <c r="C60">
        <f>업체현황!F60</f>
        <v/>
      </c>
      <c r="D60" s="31">
        <f>SUMIFS(연도별실적!$C$2:$C$401,연도별실적!$A$2:$A$401,A60,연도별실적!$B$2:$B$401,2024)</f>
        <v/>
      </c>
      <c r="E60" s="31">
        <f>SUMIFS(연도별실적!$C$2:$C$401,연도별실적!$A$2:$A$401,A60,연도별실적!$B$2:$B$401,2025)</f>
        <v/>
      </c>
      <c r="F60" s="32">
        <f>IF(D60=0,0,(E60-D60)/D60)</f>
        <v/>
      </c>
      <c r="G60">
        <f>IF(ABS(F60)&gt;=0.6,30,IF(ABS(F60)&gt;=0.35,20,IF(ABS(F60)&gt;=0.2,10,0)))</f>
        <v/>
      </c>
      <c r="H60">
        <f>IF(DATE(2026,10,23)-DATEVALUE(업체현황!O60)&gt;=1095,20,IF(DATE(2026,10,23)-DATEVALUE(업체현황!O60)&gt;=730,15,IF(DATE(2026,10,23)-DATEVALUE(업체현황!O60)&gt;=365,10,0)))</f>
        <v/>
      </c>
      <c r="I60">
        <f>IF(업체현황!P60="중대",30,IF(업체현황!P60="경미",15,0))</f>
        <v/>
      </c>
      <c r="J60">
        <f>IF(업체현황!L60="폐업",0,IF(업체현황!L60="휴업",10,0))</f>
        <v/>
      </c>
      <c r="K60">
        <f>SUM(G60:J60)</f>
        <v/>
      </c>
      <c r="L60">
        <f>IF(K60&gt;=70,"고위험",IF(K60&gt;=40,"주의","일반"))</f>
        <v/>
      </c>
      <c r="M60">
        <f>IF(K60&gt;=70,"우선 검토",IF(K60&gt;=40,"모니터링","정기관리"))</f>
        <v/>
      </c>
    </row>
    <row r="61" ht="21" customHeight="1" s="26">
      <c r="A61">
        <f>업체현황!A61</f>
        <v/>
      </c>
      <c r="B61">
        <f>업체현황!B61</f>
        <v/>
      </c>
      <c r="C61">
        <f>업체현황!F61</f>
        <v/>
      </c>
      <c r="D61" s="31">
        <f>SUMIFS(연도별실적!$C$2:$C$401,연도별실적!$A$2:$A$401,A61,연도별실적!$B$2:$B$401,2024)</f>
        <v/>
      </c>
      <c r="E61" s="31">
        <f>SUMIFS(연도별실적!$C$2:$C$401,연도별실적!$A$2:$A$401,A61,연도별실적!$B$2:$B$401,2025)</f>
        <v/>
      </c>
      <c r="F61" s="32">
        <f>IF(D61=0,0,(E61-D61)/D61)</f>
        <v/>
      </c>
      <c r="G61">
        <f>IF(ABS(F61)&gt;=0.6,30,IF(ABS(F61)&gt;=0.35,20,IF(ABS(F61)&gt;=0.2,10,0)))</f>
        <v/>
      </c>
      <c r="H61">
        <f>IF(DATE(2026,10,23)-DATEVALUE(업체현황!O61)&gt;=1095,20,IF(DATE(2026,10,23)-DATEVALUE(업체현황!O61)&gt;=730,15,IF(DATE(2026,10,23)-DATEVALUE(업체현황!O61)&gt;=365,10,0)))</f>
        <v/>
      </c>
      <c r="I61">
        <f>IF(업체현황!P61="중대",30,IF(업체현황!P61="경미",15,0))</f>
        <v/>
      </c>
      <c r="J61">
        <f>IF(업체현황!L61="폐업",0,IF(업체현황!L61="휴업",10,0))</f>
        <v/>
      </c>
      <c r="K61">
        <f>SUM(G61:J61)</f>
        <v/>
      </c>
      <c r="L61">
        <f>IF(K61&gt;=70,"고위험",IF(K61&gt;=40,"주의","일반"))</f>
        <v/>
      </c>
      <c r="M61">
        <f>IF(K61&gt;=70,"우선 검토",IF(K61&gt;=40,"모니터링","정기관리"))</f>
        <v/>
      </c>
    </row>
    <row r="62" ht="21" customHeight="1" s="26">
      <c r="A62">
        <f>업체현황!A62</f>
        <v/>
      </c>
      <c r="B62">
        <f>업체현황!B62</f>
        <v/>
      </c>
      <c r="C62">
        <f>업체현황!F62</f>
        <v/>
      </c>
      <c r="D62" s="31">
        <f>SUMIFS(연도별실적!$C$2:$C$401,연도별실적!$A$2:$A$401,A62,연도별실적!$B$2:$B$401,2024)</f>
        <v/>
      </c>
      <c r="E62" s="31">
        <f>SUMIFS(연도별실적!$C$2:$C$401,연도별실적!$A$2:$A$401,A62,연도별실적!$B$2:$B$401,2025)</f>
        <v/>
      </c>
      <c r="F62" s="32">
        <f>IF(D62=0,0,(E62-D62)/D62)</f>
        <v/>
      </c>
      <c r="G62">
        <f>IF(ABS(F62)&gt;=0.6,30,IF(ABS(F62)&gt;=0.35,20,IF(ABS(F62)&gt;=0.2,10,0)))</f>
        <v/>
      </c>
      <c r="H62">
        <f>IF(DATE(2026,10,23)-DATEVALUE(업체현황!O62)&gt;=1095,20,IF(DATE(2026,10,23)-DATEVALUE(업체현황!O62)&gt;=730,15,IF(DATE(2026,10,23)-DATEVALUE(업체현황!O62)&gt;=365,10,0)))</f>
        <v/>
      </c>
      <c r="I62">
        <f>IF(업체현황!P62="중대",30,IF(업체현황!P62="경미",15,0))</f>
        <v/>
      </c>
      <c r="J62">
        <f>IF(업체현황!L62="폐업",0,IF(업체현황!L62="휴업",10,0))</f>
        <v/>
      </c>
      <c r="K62">
        <f>SUM(G62:J62)</f>
        <v/>
      </c>
      <c r="L62">
        <f>IF(K62&gt;=70,"고위험",IF(K62&gt;=40,"주의","일반"))</f>
        <v/>
      </c>
      <c r="M62">
        <f>IF(K62&gt;=70,"우선 검토",IF(K62&gt;=40,"모니터링","정기관리"))</f>
        <v/>
      </c>
    </row>
    <row r="63" ht="21" customHeight="1" s="26">
      <c r="A63">
        <f>업체현황!A63</f>
        <v/>
      </c>
      <c r="B63">
        <f>업체현황!B63</f>
        <v/>
      </c>
      <c r="C63">
        <f>업체현황!F63</f>
        <v/>
      </c>
      <c r="D63" s="31">
        <f>SUMIFS(연도별실적!$C$2:$C$401,연도별실적!$A$2:$A$401,A63,연도별실적!$B$2:$B$401,2024)</f>
        <v/>
      </c>
      <c r="E63" s="31">
        <f>SUMIFS(연도별실적!$C$2:$C$401,연도별실적!$A$2:$A$401,A63,연도별실적!$B$2:$B$401,2025)</f>
        <v/>
      </c>
      <c r="F63" s="32">
        <f>IF(D63=0,0,(E63-D63)/D63)</f>
        <v/>
      </c>
      <c r="G63">
        <f>IF(ABS(F63)&gt;=0.6,30,IF(ABS(F63)&gt;=0.35,20,IF(ABS(F63)&gt;=0.2,10,0)))</f>
        <v/>
      </c>
      <c r="H63">
        <f>IF(DATE(2026,10,23)-DATEVALUE(업체현황!O63)&gt;=1095,20,IF(DATE(2026,10,23)-DATEVALUE(업체현황!O63)&gt;=730,15,IF(DATE(2026,10,23)-DATEVALUE(업체현황!O63)&gt;=365,10,0)))</f>
        <v/>
      </c>
      <c r="I63">
        <f>IF(업체현황!P63="중대",30,IF(업체현황!P63="경미",15,0))</f>
        <v/>
      </c>
      <c r="J63">
        <f>IF(업체현황!L63="폐업",0,IF(업체현황!L63="휴업",10,0))</f>
        <v/>
      </c>
      <c r="K63">
        <f>SUM(G63:J63)</f>
        <v/>
      </c>
      <c r="L63">
        <f>IF(K63&gt;=70,"고위험",IF(K63&gt;=40,"주의","일반"))</f>
        <v/>
      </c>
      <c r="M63">
        <f>IF(K63&gt;=70,"우선 검토",IF(K63&gt;=40,"모니터링","정기관리"))</f>
        <v/>
      </c>
    </row>
    <row r="64" ht="21" customHeight="1" s="26">
      <c r="A64">
        <f>업체현황!A64</f>
        <v/>
      </c>
      <c r="B64">
        <f>업체현황!B64</f>
        <v/>
      </c>
      <c r="C64">
        <f>업체현황!F64</f>
        <v/>
      </c>
      <c r="D64" s="31">
        <f>SUMIFS(연도별실적!$C$2:$C$401,연도별실적!$A$2:$A$401,A64,연도별실적!$B$2:$B$401,2024)</f>
        <v/>
      </c>
      <c r="E64" s="31">
        <f>SUMIFS(연도별실적!$C$2:$C$401,연도별실적!$A$2:$A$401,A64,연도별실적!$B$2:$B$401,2025)</f>
        <v/>
      </c>
      <c r="F64" s="32">
        <f>IF(D64=0,0,(E64-D64)/D64)</f>
        <v/>
      </c>
      <c r="G64">
        <f>IF(ABS(F64)&gt;=0.6,30,IF(ABS(F64)&gt;=0.35,20,IF(ABS(F64)&gt;=0.2,10,0)))</f>
        <v/>
      </c>
      <c r="H64">
        <f>IF(DATE(2026,10,23)-DATEVALUE(업체현황!O64)&gt;=1095,20,IF(DATE(2026,10,23)-DATEVALUE(업체현황!O64)&gt;=730,15,IF(DATE(2026,10,23)-DATEVALUE(업체현황!O64)&gt;=365,10,0)))</f>
        <v/>
      </c>
      <c r="I64">
        <f>IF(업체현황!P64="중대",30,IF(업체현황!P64="경미",15,0))</f>
        <v/>
      </c>
      <c r="J64">
        <f>IF(업체현황!L64="폐업",0,IF(업체현황!L64="휴업",10,0))</f>
        <v/>
      </c>
      <c r="K64">
        <f>SUM(G64:J64)</f>
        <v/>
      </c>
      <c r="L64">
        <f>IF(K64&gt;=70,"고위험",IF(K64&gt;=40,"주의","일반"))</f>
        <v/>
      </c>
      <c r="M64">
        <f>IF(K64&gt;=70,"우선 검토",IF(K64&gt;=40,"모니터링","정기관리"))</f>
        <v/>
      </c>
    </row>
    <row r="65" ht="21" customHeight="1" s="26">
      <c r="A65">
        <f>업체현황!A65</f>
        <v/>
      </c>
      <c r="B65">
        <f>업체현황!B65</f>
        <v/>
      </c>
      <c r="C65">
        <f>업체현황!F65</f>
        <v/>
      </c>
      <c r="D65" s="31">
        <f>SUMIFS(연도별실적!$C$2:$C$401,연도별실적!$A$2:$A$401,A65,연도별실적!$B$2:$B$401,2024)</f>
        <v/>
      </c>
      <c r="E65" s="31">
        <f>SUMIFS(연도별실적!$C$2:$C$401,연도별실적!$A$2:$A$401,A65,연도별실적!$B$2:$B$401,2025)</f>
        <v/>
      </c>
      <c r="F65" s="32">
        <f>IF(D65=0,0,(E65-D65)/D65)</f>
        <v/>
      </c>
      <c r="G65">
        <f>IF(ABS(F65)&gt;=0.6,30,IF(ABS(F65)&gt;=0.35,20,IF(ABS(F65)&gt;=0.2,10,0)))</f>
        <v/>
      </c>
      <c r="H65">
        <f>IF(DATE(2026,10,23)-DATEVALUE(업체현황!O65)&gt;=1095,20,IF(DATE(2026,10,23)-DATEVALUE(업체현황!O65)&gt;=730,15,IF(DATE(2026,10,23)-DATEVALUE(업체현황!O65)&gt;=365,10,0)))</f>
        <v/>
      </c>
      <c r="I65">
        <f>IF(업체현황!P65="중대",30,IF(업체현황!P65="경미",15,0))</f>
        <v/>
      </c>
      <c r="J65">
        <f>IF(업체현황!L65="폐업",0,IF(업체현황!L65="휴업",10,0))</f>
        <v/>
      </c>
      <c r="K65">
        <f>SUM(G65:J65)</f>
        <v/>
      </c>
      <c r="L65">
        <f>IF(K65&gt;=70,"고위험",IF(K65&gt;=40,"주의","일반"))</f>
        <v/>
      </c>
      <c r="M65">
        <f>IF(K65&gt;=70,"우선 검토",IF(K65&gt;=40,"모니터링","정기관리"))</f>
        <v/>
      </c>
    </row>
    <row r="66" ht="21" customHeight="1" s="26">
      <c r="A66">
        <f>업체현황!A66</f>
        <v/>
      </c>
      <c r="B66">
        <f>업체현황!B66</f>
        <v/>
      </c>
      <c r="C66">
        <f>업체현황!F66</f>
        <v/>
      </c>
      <c r="D66" s="31">
        <f>SUMIFS(연도별실적!$C$2:$C$401,연도별실적!$A$2:$A$401,A66,연도별실적!$B$2:$B$401,2024)</f>
        <v/>
      </c>
      <c r="E66" s="31">
        <f>SUMIFS(연도별실적!$C$2:$C$401,연도별실적!$A$2:$A$401,A66,연도별실적!$B$2:$B$401,2025)</f>
        <v/>
      </c>
      <c r="F66" s="32">
        <f>IF(D66=0,0,(E66-D66)/D66)</f>
        <v/>
      </c>
      <c r="G66">
        <f>IF(ABS(F66)&gt;=0.6,30,IF(ABS(F66)&gt;=0.35,20,IF(ABS(F66)&gt;=0.2,10,0)))</f>
        <v/>
      </c>
      <c r="H66">
        <f>IF(DATE(2026,10,23)-DATEVALUE(업체현황!O66)&gt;=1095,20,IF(DATE(2026,10,23)-DATEVALUE(업체현황!O66)&gt;=730,15,IF(DATE(2026,10,23)-DATEVALUE(업체현황!O66)&gt;=365,10,0)))</f>
        <v/>
      </c>
      <c r="I66">
        <f>IF(업체현황!P66="중대",30,IF(업체현황!P66="경미",15,0))</f>
        <v/>
      </c>
      <c r="J66">
        <f>IF(업체현황!L66="폐업",0,IF(업체현황!L66="휴업",10,0))</f>
        <v/>
      </c>
      <c r="K66">
        <f>SUM(G66:J66)</f>
        <v/>
      </c>
      <c r="L66">
        <f>IF(K66&gt;=70,"고위험",IF(K66&gt;=40,"주의","일반"))</f>
        <v/>
      </c>
      <c r="M66">
        <f>IF(K66&gt;=70,"우선 검토",IF(K66&gt;=40,"모니터링","정기관리"))</f>
        <v/>
      </c>
    </row>
    <row r="67" ht="21" customHeight="1" s="26">
      <c r="A67">
        <f>업체현황!A67</f>
        <v/>
      </c>
      <c r="B67">
        <f>업체현황!B67</f>
        <v/>
      </c>
      <c r="C67">
        <f>업체현황!F67</f>
        <v/>
      </c>
      <c r="D67" s="31">
        <f>SUMIFS(연도별실적!$C$2:$C$401,연도별실적!$A$2:$A$401,A67,연도별실적!$B$2:$B$401,2024)</f>
        <v/>
      </c>
      <c r="E67" s="31">
        <f>SUMIFS(연도별실적!$C$2:$C$401,연도별실적!$A$2:$A$401,A67,연도별실적!$B$2:$B$401,2025)</f>
        <v/>
      </c>
      <c r="F67" s="32">
        <f>IF(D67=0,0,(E67-D67)/D67)</f>
        <v/>
      </c>
      <c r="G67">
        <f>IF(ABS(F67)&gt;=0.6,30,IF(ABS(F67)&gt;=0.35,20,IF(ABS(F67)&gt;=0.2,10,0)))</f>
        <v/>
      </c>
      <c r="H67">
        <f>IF(DATE(2026,10,23)-DATEVALUE(업체현황!O67)&gt;=1095,20,IF(DATE(2026,10,23)-DATEVALUE(업체현황!O67)&gt;=730,15,IF(DATE(2026,10,23)-DATEVALUE(업체현황!O67)&gt;=365,10,0)))</f>
        <v/>
      </c>
      <c r="I67">
        <f>IF(업체현황!P67="중대",30,IF(업체현황!P67="경미",15,0))</f>
        <v/>
      </c>
      <c r="J67">
        <f>IF(업체현황!L67="폐업",0,IF(업체현황!L67="휴업",10,0))</f>
        <v/>
      </c>
      <c r="K67">
        <f>SUM(G67:J67)</f>
        <v/>
      </c>
      <c r="L67">
        <f>IF(K67&gt;=70,"고위험",IF(K67&gt;=40,"주의","일반"))</f>
        <v/>
      </c>
      <c r="M67">
        <f>IF(K67&gt;=70,"우선 검토",IF(K67&gt;=40,"모니터링","정기관리"))</f>
        <v/>
      </c>
    </row>
    <row r="68" ht="21" customHeight="1" s="26">
      <c r="A68">
        <f>업체현황!A68</f>
        <v/>
      </c>
      <c r="B68">
        <f>업체현황!B68</f>
        <v/>
      </c>
      <c r="C68">
        <f>업체현황!F68</f>
        <v/>
      </c>
      <c r="D68" s="31">
        <f>SUMIFS(연도별실적!$C$2:$C$401,연도별실적!$A$2:$A$401,A68,연도별실적!$B$2:$B$401,2024)</f>
        <v/>
      </c>
      <c r="E68" s="31">
        <f>SUMIFS(연도별실적!$C$2:$C$401,연도별실적!$A$2:$A$401,A68,연도별실적!$B$2:$B$401,2025)</f>
        <v/>
      </c>
      <c r="F68" s="32">
        <f>IF(D68=0,0,(E68-D68)/D68)</f>
        <v/>
      </c>
      <c r="G68">
        <f>IF(ABS(F68)&gt;=0.6,30,IF(ABS(F68)&gt;=0.35,20,IF(ABS(F68)&gt;=0.2,10,0)))</f>
        <v/>
      </c>
      <c r="H68">
        <f>IF(DATE(2026,10,23)-DATEVALUE(업체현황!O68)&gt;=1095,20,IF(DATE(2026,10,23)-DATEVALUE(업체현황!O68)&gt;=730,15,IF(DATE(2026,10,23)-DATEVALUE(업체현황!O68)&gt;=365,10,0)))</f>
        <v/>
      </c>
      <c r="I68">
        <f>IF(업체현황!P68="중대",30,IF(업체현황!P68="경미",15,0))</f>
        <v/>
      </c>
      <c r="J68">
        <f>IF(업체현황!L68="폐업",0,IF(업체현황!L68="휴업",10,0))</f>
        <v/>
      </c>
      <c r="K68">
        <f>SUM(G68:J68)</f>
        <v/>
      </c>
      <c r="L68">
        <f>IF(K68&gt;=70,"고위험",IF(K68&gt;=40,"주의","일반"))</f>
        <v/>
      </c>
      <c r="M68">
        <f>IF(K68&gt;=70,"우선 검토",IF(K68&gt;=40,"모니터링","정기관리"))</f>
        <v/>
      </c>
    </row>
    <row r="69" ht="21" customHeight="1" s="26">
      <c r="A69">
        <f>업체현황!A69</f>
        <v/>
      </c>
      <c r="B69">
        <f>업체현황!B69</f>
        <v/>
      </c>
      <c r="C69">
        <f>업체현황!F69</f>
        <v/>
      </c>
      <c r="D69" s="31">
        <f>SUMIFS(연도별실적!$C$2:$C$401,연도별실적!$A$2:$A$401,A69,연도별실적!$B$2:$B$401,2024)</f>
        <v/>
      </c>
      <c r="E69" s="31">
        <f>SUMIFS(연도별실적!$C$2:$C$401,연도별실적!$A$2:$A$401,A69,연도별실적!$B$2:$B$401,2025)</f>
        <v/>
      </c>
      <c r="F69" s="32">
        <f>IF(D69=0,0,(E69-D69)/D69)</f>
        <v/>
      </c>
      <c r="G69">
        <f>IF(ABS(F69)&gt;=0.6,30,IF(ABS(F69)&gt;=0.35,20,IF(ABS(F69)&gt;=0.2,10,0)))</f>
        <v/>
      </c>
      <c r="H69">
        <f>IF(DATE(2026,10,23)-DATEVALUE(업체현황!O69)&gt;=1095,20,IF(DATE(2026,10,23)-DATEVALUE(업체현황!O69)&gt;=730,15,IF(DATE(2026,10,23)-DATEVALUE(업체현황!O69)&gt;=365,10,0)))</f>
        <v/>
      </c>
      <c r="I69">
        <f>IF(업체현황!P69="중대",30,IF(업체현황!P69="경미",15,0))</f>
        <v/>
      </c>
      <c r="J69">
        <f>IF(업체현황!L69="폐업",0,IF(업체현황!L69="휴업",10,0))</f>
        <v/>
      </c>
      <c r="K69">
        <f>SUM(G69:J69)</f>
        <v/>
      </c>
      <c r="L69">
        <f>IF(K69&gt;=70,"고위험",IF(K69&gt;=40,"주의","일반"))</f>
        <v/>
      </c>
      <c r="M69">
        <f>IF(K69&gt;=70,"우선 검토",IF(K69&gt;=40,"모니터링","정기관리"))</f>
        <v/>
      </c>
    </row>
    <row r="70" ht="21" customHeight="1" s="26">
      <c r="A70">
        <f>업체현황!A70</f>
        <v/>
      </c>
      <c r="B70">
        <f>업체현황!B70</f>
        <v/>
      </c>
      <c r="C70">
        <f>업체현황!F70</f>
        <v/>
      </c>
      <c r="D70" s="31">
        <f>SUMIFS(연도별실적!$C$2:$C$401,연도별실적!$A$2:$A$401,A70,연도별실적!$B$2:$B$401,2024)</f>
        <v/>
      </c>
      <c r="E70" s="31">
        <f>SUMIFS(연도별실적!$C$2:$C$401,연도별실적!$A$2:$A$401,A70,연도별실적!$B$2:$B$401,2025)</f>
        <v/>
      </c>
      <c r="F70" s="32">
        <f>IF(D70=0,0,(E70-D70)/D70)</f>
        <v/>
      </c>
      <c r="G70">
        <f>IF(ABS(F70)&gt;=0.6,30,IF(ABS(F70)&gt;=0.35,20,IF(ABS(F70)&gt;=0.2,10,0)))</f>
        <v/>
      </c>
      <c r="H70">
        <f>IF(DATE(2026,10,23)-DATEVALUE(업체현황!O70)&gt;=1095,20,IF(DATE(2026,10,23)-DATEVALUE(업체현황!O70)&gt;=730,15,IF(DATE(2026,10,23)-DATEVALUE(업체현황!O70)&gt;=365,10,0)))</f>
        <v/>
      </c>
      <c r="I70">
        <f>IF(업체현황!P70="중대",30,IF(업체현황!P70="경미",15,0))</f>
        <v/>
      </c>
      <c r="J70">
        <f>IF(업체현황!L70="폐업",0,IF(업체현황!L70="휴업",10,0))</f>
        <v/>
      </c>
      <c r="K70">
        <f>SUM(G70:J70)</f>
        <v/>
      </c>
      <c r="L70">
        <f>IF(K70&gt;=70,"고위험",IF(K70&gt;=40,"주의","일반"))</f>
        <v/>
      </c>
      <c r="M70">
        <f>IF(K70&gt;=70,"우선 검토",IF(K70&gt;=40,"모니터링","정기관리"))</f>
        <v/>
      </c>
    </row>
    <row r="71" ht="21" customHeight="1" s="26">
      <c r="A71">
        <f>업체현황!A71</f>
        <v/>
      </c>
      <c r="B71">
        <f>업체현황!B71</f>
        <v/>
      </c>
      <c r="C71">
        <f>업체현황!F71</f>
        <v/>
      </c>
      <c r="D71" s="31">
        <f>SUMIFS(연도별실적!$C$2:$C$401,연도별실적!$A$2:$A$401,A71,연도별실적!$B$2:$B$401,2024)</f>
        <v/>
      </c>
      <c r="E71" s="31">
        <f>SUMIFS(연도별실적!$C$2:$C$401,연도별실적!$A$2:$A$401,A71,연도별실적!$B$2:$B$401,2025)</f>
        <v/>
      </c>
      <c r="F71" s="32">
        <f>IF(D71=0,0,(E71-D71)/D71)</f>
        <v/>
      </c>
      <c r="G71">
        <f>IF(ABS(F71)&gt;=0.6,30,IF(ABS(F71)&gt;=0.35,20,IF(ABS(F71)&gt;=0.2,10,0)))</f>
        <v/>
      </c>
      <c r="H71">
        <f>IF(DATE(2026,10,23)-DATEVALUE(업체현황!O71)&gt;=1095,20,IF(DATE(2026,10,23)-DATEVALUE(업체현황!O71)&gt;=730,15,IF(DATE(2026,10,23)-DATEVALUE(업체현황!O71)&gt;=365,10,0)))</f>
        <v/>
      </c>
      <c r="I71">
        <f>IF(업체현황!P71="중대",30,IF(업체현황!P71="경미",15,0))</f>
        <v/>
      </c>
      <c r="J71">
        <f>IF(업체현황!L71="폐업",0,IF(업체현황!L71="휴업",10,0))</f>
        <v/>
      </c>
      <c r="K71">
        <f>SUM(G71:J71)</f>
        <v/>
      </c>
      <c r="L71">
        <f>IF(K71&gt;=70,"고위험",IF(K71&gt;=40,"주의","일반"))</f>
        <v/>
      </c>
      <c r="M71">
        <f>IF(K71&gt;=70,"우선 검토",IF(K71&gt;=40,"모니터링","정기관리"))</f>
        <v/>
      </c>
    </row>
    <row r="72" ht="21" customHeight="1" s="26">
      <c r="A72">
        <f>업체현황!A72</f>
        <v/>
      </c>
      <c r="B72">
        <f>업체현황!B72</f>
        <v/>
      </c>
      <c r="C72">
        <f>업체현황!F72</f>
        <v/>
      </c>
      <c r="D72" s="31">
        <f>SUMIFS(연도별실적!$C$2:$C$401,연도별실적!$A$2:$A$401,A72,연도별실적!$B$2:$B$401,2024)</f>
        <v/>
      </c>
      <c r="E72" s="31">
        <f>SUMIFS(연도별실적!$C$2:$C$401,연도별실적!$A$2:$A$401,A72,연도별실적!$B$2:$B$401,2025)</f>
        <v/>
      </c>
      <c r="F72" s="32">
        <f>IF(D72=0,0,(E72-D72)/D72)</f>
        <v/>
      </c>
      <c r="G72">
        <f>IF(ABS(F72)&gt;=0.6,30,IF(ABS(F72)&gt;=0.35,20,IF(ABS(F72)&gt;=0.2,10,0)))</f>
        <v/>
      </c>
      <c r="H72">
        <f>IF(DATE(2026,10,23)-DATEVALUE(업체현황!O72)&gt;=1095,20,IF(DATE(2026,10,23)-DATEVALUE(업체현황!O72)&gt;=730,15,IF(DATE(2026,10,23)-DATEVALUE(업체현황!O72)&gt;=365,10,0)))</f>
        <v/>
      </c>
      <c r="I72">
        <f>IF(업체현황!P72="중대",30,IF(업체현황!P72="경미",15,0))</f>
        <v/>
      </c>
      <c r="J72">
        <f>IF(업체현황!L72="폐업",0,IF(업체현황!L72="휴업",10,0))</f>
        <v/>
      </c>
      <c r="K72">
        <f>SUM(G72:J72)</f>
        <v/>
      </c>
      <c r="L72">
        <f>IF(K72&gt;=70,"고위험",IF(K72&gt;=40,"주의","일반"))</f>
        <v/>
      </c>
      <c r="M72">
        <f>IF(K72&gt;=70,"우선 검토",IF(K72&gt;=40,"모니터링","정기관리"))</f>
        <v/>
      </c>
    </row>
    <row r="73" ht="21" customHeight="1" s="26">
      <c r="A73">
        <f>업체현황!A73</f>
        <v/>
      </c>
      <c r="B73">
        <f>업체현황!B73</f>
        <v/>
      </c>
      <c r="C73">
        <f>업체현황!F73</f>
        <v/>
      </c>
      <c r="D73" s="31">
        <f>SUMIFS(연도별실적!$C$2:$C$401,연도별실적!$A$2:$A$401,A73,연도별실적!$B$2:$B$401,2024)</f>
        <v/>
      </c>
      <c r="E73" s="31">
        <f>SUMIFS(연도별실적!$C$2:$C$401,연도별실적!$A$2:$A$401,A73,연도별실적!$B$2:$B$401,2025)</f>
        <v/>
      </c>
      <c r="F73" s="32">
        <f>IF(D73=0,0,(E73-D73)/D73)</f>
        <v/>
      </c>
      <c r="G73">
        <f>IF(ABS(F73)&gt;=0.6,30,IF(ABS(F73)&gt;=0.35,20,IF(ABS(F73)&gt;=0.2,10,0)))</f>
        <v/>
      </c>
      <c r="H73">
        <f>IF(DATE(2026,10,23)-DATEVALUE(업체현황!O73)&gt;=1095,20,IF(DATE(2026,10,23)-DATEVALUE(업체현황!O73)&gt;=730,15,IF(DATE(2026,10,23)-DATEVALUE(업체현황!O73)&gt;=365,10,0)))</f>
        <v/>
      </c>
      <c r="I73">
        <f>IF(업체현황!P73="중대",30,IF(업체현황!P73="경미",15,0))</f>
        <v/>
      </c>
      <c r="J73">
        <f>IF(업체현황!L73="폐업",0,IF(업체현황!L73="휴업",10,0))</f>
        <v/>
      </c>
      <c r="K73">
        <f>SUM(G73:J73)</f>
        <v/>
      </c>
      <c r="L73">
        <f>IF(K73&gt;=70,"고위험",IF(K73&gt;=40,"주의","일반"))</f>
        <v/>
      </c>
      <c r="M73">
        <f>IF(K73&gt;=70,"우선 검토",IF(K73&gt;=40,"모니터링","정기관리"))</f>
        <v/>
      </c>
    </row>
    <row r="74" ht="21" customHeight="1" s="26">
      <c r="A74">
        <f>업체현황!A74</f>
        <v/>
      </c>
      <c r="B74">
        <f>업체현황!B74</f>
        <v/>
      </c>
      <c r="C74">
        <f>업체현황!F74</f>
        <v/>
      </c>
      <c r="D74" s="31">
        <f>SUMIFS(연도별실적!$C$2:$C$401,연도별실적!$A$2:$A$401,A74,연도별실적!$B$2:$B$401,2024)</f>
        <v/>
      </c>
      <c r="E74" s="31">
        <f>SUMIFS(연도별실적!$C$2:$C$401,연도별실적!$A$2:$A$401,A74,연도별실적!$B$2:$B$401,2025)</f>
        <v/>
      </c>
      <c r="F74" s="32">
        <f>IF(D74=0,0,(E74-D74)/D74)</f>
        <v/>
      </c>
      <c r="G74">
        <f>IF(ABS(F74)&gt;=0.6,30,IF(ABS(F74)&gt;=0.35,20,IF(ABS(F74)&gt;=0.2,10,0)))</f>
        <v/>
      </c>
      <c r="H74">
        <f>IF(DATE(2026,10,23)-DATEVALUE(업체현황!O74)&gt;=1095,20,IF(DATE(2026,10,23)-DATEVALUE(업체현황!O74)&gt;=730,15,IF(DATE(2026,10,23)-DATEVALUE(업체현황!O74)&gt;=365,10,0)))</f>
        <v/>
      </c>
      <c r="I74">
        <f>IF(업체현황!P74="중대",30,IF(업체현황!P74="경미",15,0))</f>
        <v/>
      </c>
      <c r="J74">
        <f>IF(업체현황!L74="폐업",0,IF(업체현황!L74="휴업",10,0))</f>
        <v/>
      </c>
      <c r="K74">
        <f>SUM(G74:J74)</f>
        <v/>
      </c>
      <c r="L74">
        <f>IF(K74&gt;=70,"고위험",IF(K74&gt;=40,"주의","일반"))</f>
        <v/>
      </c>
      <c r="M74">
        <f>IF(K74&gt;=70,"우선 검토",IF(K74&gt;=40,"모니터링","정기관리"))</f>
        <v/>
      </c>
    </row>
    <row r="75" ht="21" customHeight="1" s="26">
      <c r="A75">
        <f>업체현황!A75</f>
        <v/>
      </c>
      <c r="B75">
        <f>업체현황!B75</f>
        <v/>
      </c>
      <c r="C75">
        <f>업체현황!F75</f>
        <v/>
      </c>
      <c r="D75" s="31">
        <f>SUMIFS(연도별실적!$C$2:$C$401,연도별실적!$A$2:$A$401,A75,연도별실적!$B$2:$B$401,2024)</f>
        <v/>
      </c>
      <c r="E75" s="31">
        <f>SUMIFS(연도별실적!$C$2:$C$401,연도별실적!$A$2:$A$401,A75,연도별실적!$B$2:$B$401,2025)</f>
        <v/>
      </c>
      <c r="F75" s="32">
        <f>IF(D75=0,0,(E75-D75)/D75)</f>
        <v/>
      </c>
      <c r="G75">
        <f>IF(ABS(F75)&gt;=0.6,30,IF(ABS(F75)&gt;=0.35,20,IF(ABS(F75)&gt;=0.2,10,0)))</f>
        <v/>
      </c>
      <c r="H75">
        <f>IF(DATE(2026,10,23)-DATEVALUE(업체현황!O75)&gt;=1095,20,IF(DATE(2026,10,23)-DATEVALUE(업체현황!O75)&gt;=730,15,IF(DATE(2026,10,23)-DATEVALUE(업체현황!O75)&gt;=365,10,0)))</f>
        <v/>
      </c>
      <c r="I75">
        <f>IF(업체현황!P75="중대",30,IF(업체현황!P75="경미",15,0))</f>
        <v/>
      </c>
      <c r="J75">
        <f>IF(업체현황!L75="폐업",0,IF(업체현황!L75="휴업",10,0))</f>
        <v/>
      </c>
      <c r="K75">
        <f>SUM(G75:J75)</f>
        <v/>
      </c>
      <c r="L75">
        <f>IF(K75&gt;=70,"고위험",IF(K75&gt;=40,"주의","일반"))</f>
        <v/>
      </c>
      <c r="M75">
        <f>IF(K75&gt;=70,"우선 검토",IF(K75&gt;=40,"모니터링","정기관리"))</f>
        <v/>
      </c>
    </row>
    <row r="76" ht="21" customHeight="1" s="26">
      <c r="A76">
        <f>업체현황!A76</f>
        <v/>
      </c>
      <c r="B76">
        <f>업체현황!B76</f>
        <v/>
      </c>
      <c r="C76">
        <f>업체현황!F76</f>
        <v/>
      </c>
      <c r="D76" s="31">
        <f>SUMIFS(연도별실적!$C$2:$C$401,연도별실적!$A$2:$A$401,A76,연도별실적!$B$2:$B$401,2024)</f>
        <v/>
      </c>
      <c r="E76" s="31">
        <f>SUMIFS(연도별실적!$C$2:$C$401,연도별실적!$A$2:$A$401,A76,연도별실적!$B$2:$B$401,2025)</f>
        <v/>
      </c>
      <c r="F76" s="32">
        <f>IF(D76=0,0,(E76-D76)/D76)</f>
        <v/>
      </c>
      <c r="G76">
        <f>IF(ABS(F76)&gt;=0.6,30,IF(ABS(F76)&gt;=0.35,20,IF(ABS(F76)&gt;=0.2,10,0)))</f>
        <v/>
      </c>
      <c r="H76">
        <f>IF(DATE(2026,10,23)-DATEVALUE(업체현황!O76)&gt;=1095,20,IF(DATE(2026,10,23)-DATEVALUE(업체현황!O76)&gt;=730,15,IF(DATE(2026,10,23)-DATEVALUE(업체현황!O76)&gt;=365,10,0)))</f>
        <v/>
      </c>
      <c r="I76">
        <f>IF(업체현황!P76="중대",30,IF(업체현황!P76="경미",15,0))</f>
        <v/>
      </c>
      <c r="J76">
        <f>IF(업체현황!L76="폐업",0,IF(업체현황!L76="휴업",10,0))</f>
        <v/>
      </c>
      <c r="K76">
        <f>SUM(G76:J76)</f>
        <v/>
      </c>
      <c r="L76">
        <f>IF(K76&gt;=70,"고위험",IF(K76&gt;=40,"주의","일반"))</f>
        <v/>
      </c>
      <c r="M76">
        <f>IF(K76&gt;=70,"우선 검토",IF(K76&gt;=40,"모니터링","정기관리"))</f>
        <v/>
      </c>
    </row>
    <row r="77" ht="21" customHeight="1" s="26">
      <c r="A77">
        <f>업체현황!A77</f>
        <v/>
      </c>
      <c r="B77">
        <f>업체현황!B77</f>
        <v/>
      </c>
      <c r="C77">
        <f>업체현황!F77</f>
        <v/>
      </c>
      <c r="D77" s="31">
        <f>SUMIFS(연도별실적!$C$2:$C$401,연도별실적!$A$2:$A$401,A77,연도별실적!$B$2:$B$401,2024)</f>
        <v/>
      </c>
      <c r="E77" s="31">
        <f>SUMIFS(연도별실적!$C$2:$C$401,연도별실적!$A$2:$A$401,A77,연도별실적!$B$2:$B$401,2025)</f>
        <v/>
      </c>
      <c r="F77" s="32">
        <f>IF(D77=0,0,(E77-D77)/D77)</f>
        <v/>
      </c>
      <c r="G77">
        <f>IF(ABS(F77)&gt;=0.6,30,IF(ABS(F77)&gt;=0.35,20,IF(ABS(F77)&gt;=0.2,10,0)))</f>
        <v/>
      </c>
      <c r="H77">
        <f>IF(DATE(2026,10,23)-DATEVALUE(업체현황!O77)&gt;=1095,20,IF(DATE(2026,10,23)-DATEVALUE(업체현황!O77)&gt;=730,15,IF(DATE(2026,10,23)-DATEVALUE(업체현황!O77)&gt;=365,10,0)))</f>
        <v/>
      </c>
      <c r="I77">
        <f>IF(업체현황!P77="중대",30,IF(업체현황!P77="경미",15,0))</f>
        <v/>
      </c>
      <c r="J77">
        <f>IF(업체현황!L77="폐업",0,IF(업체현황!L77="휴업",10,0))</f>
        <v/>
      </c>
      <c r="K77">
        <f>SUM(G77:J77)</f>
        <v/>
      </c>
      <c r="L77">
        <f>IF(K77&gt;=70,"고위험",IF(K77&gt;=40,"주의","일반"))</f>
        <v/>
      </c>
      <c r="M77">
        <f>IF(K77&gt;=70,"우선 검토",IF(K77&gt;=40,"모니터링","정기관리"))</f>
        <v/>
      </c>
    </row>
    <row r="78" ht="21" customHeight="1" s="26">
      <c r="A78">
        <f>업체현황!A78</f>
        <v/>
      </c>
      <c r="B78">
        <f>업체현황!B78</f>
        <v/>
      </c>
      <c r="C78">
        <f>업체현황!F78</f>
        <v/>
      </c>
      <c r="D78" s="31">
        <f>SUMIFS(연도별실적!$C$2:$C$401,연도별실적!$A$2:$A$401,A78,연도별실적!$B$2:$B$401,2024)</f>
        <v/>
      </c>
      <c r="E78" s="31">
        <f>SUMIFS(연도별실적!$C$2:$C$401,연도별실적!$A$2:$A$401,A78,연도별실적!$B$2:$B$401,2025)</f>
        <v/>
      </c>
      <c r="F78" s="32">
        <f>IF(D78=0,0,(E78-D78)/D78)</f>
        <v/>
      </c>
      <c r="G78">
        <f>IF(ABS(F78)&gt;=0.6,30,IF(ABS(F78)&gt;=0.35,20,IF(ABS(F78)&gt;=0.2,10,0)))</f>
        <v/>
      </c>
      <c r="H78">
        <f>IF(DATE(2026,10,23)-DATEVALUE(업체현황!O78)&gt;=1095,20,IF(DATE(2026,10,23)-DATEVALUE(업체현황!O78)&gt;=730,15,IF(DATE(2026,10,23)-DATEVALUE(업체현황!O78)&gt;=365,10,0)))</f>
        <v/>
      </c>
      <c r="I78">
        <f>IF(업체현황!P78="중대",30,IF(업체현황!P78="경미",15,0))</f>
        <v/>
      </c>
      <c r="J78">
        <f>IF(업체현황!L78="폐업",0,IF(업체현황!L78="휴업",10,0))</f>
        <v/>
      </c>
      <c r="K78">
        <f>SUM(G78:J78)</f>
        <v/>
      </c>
      <c r="L78">
        <f>IF(K78&gt;=70,"고위험",IF(K78&gt;=40,"주의","일반"))</f>
        <v/>
      </c>
      <c r="M78">
        <f>IF(K78&gt;=70,"우선 검토",IF(K78&gt;=40,"모니터링","정기관리"))</f>
        <v/>
      </c>
    </row>
    <row r="79" ht="21" customHeight="1" s="26">
      <c r="A79">
        <f>업체현황!A79</f>
        <v/>
      </c>
      <c r="B79">
        <f>업체현황!B79</f>
        <v/>
      </c>
      <c r="C79">
        <f>업체현황!F79</f>
        <v/>
      </c>
      <c r="D79" s="31">
        <f>SUMIFS(연도별실적!$C$2:$C$401,연도별실적!$A$2:$A$401,A79,연도별실적!$B$2:$B$401,2024)</f>
        <v/>
      </c>
      <c r="E79" s="31">
        <f>SUMIFS(연도별실적!$C$2:$C$401,연도별실적!$A$2:$A$401,A79,연도별실적!$B$2:$B$401,2025)</f>
        <v/>
      </c>
      <c r="F79" s="32">
        <f>IF(D79=0,0,(E79-D79)/D79)</f>
        <v/>
      </c>
      <c r="G79">
        <f>IF(ABS(F79)&gt;=0.6,30,IF(ABS(F79)&gt;=0.35,20,IF(ABS(F79)&gt;=0.2,10,0)))</f>
        <v/>
      </c>
      <c r="H79">
        <f>IF(DATE(2026,10,23)-DATEVALUE(업체현황!O79)&gt;=1095,20,IF(DATE(2026,10,23)-DATEVALUE(업체현황!O79)&gt;=730,15,IF(DATE(2026,10,23)-DATEVALUE(업체현황!O79)&gt;=365,10,0)))</f>
        <v/>
      </c>
      <c r="I79">
        <f>IF(업체현황!P79="중대",30,IF(업체현황!P79="경미",15,0))</f>
        <v/>
      </c>
      <c r="J79">
        <f>IF(업체현황!L79="폐업",0,IF(업체현황!L79="휴업",10,0))</f>
        <v/>
      </c>
      <c r="K79">
        <f>SUM(G79:J79)</f>
        <v/>
      </c>
      <c r="L79">
        <f>IF(K79&gt;=70,"고위험",IF(K79&gt;=40,"주의","일반"))</f>
        <v/>
      </c>
      <c r="M79">
        <f>IF(K79&gt;=70,"우선 검토",IF(K79&gt;=40,"모니터링","정기관리"))</f>
        <v/>
      </c>
    </row>
    <row r="80" ht="21" customHeight="1" s="26">
      <c r="A80">
        <f>업체현황!A80</f>
        <v/>
      </c>
      <c r="B80">
        <f>업체현황!B80</f>
        <v/>
      </c>
      <c r="C80">
        <f>업체현황!F80</f>
        <v/>
      </c>
      <c r="D80" s="31">
        <f>SUMIFS(연도별실적!$C$2:$C$401,연도별실적!$A$2:$A$401,A80,연도별실적!$B$2:$B$401,2024)</f>
        <v/>
      </c>
      <c r="E80" s="31">
        <f>SUMIFS(연도별실적!$C$2:$C$401,연도별실적!$A$2:$A$401,A80,연도별실적!$B$2:$B$401,2025)</f>
        <v/>
      </c>
      <c r="F80" s="32">
        <f>IF(D80=0,0,(E80-D80)/D80)</f>
        <v/>
      </c>
      <c r="G80">
        <f>IF(ABS(F80)&gt;=0.6,30,IF(ABS(F80)&gt;=0.35,20,IF(ABS(F80)&gt;=0.2,10,0)))</f>
        <v/>
      </c>
      <c r="H80">
        <f>IF(DATE(2026,10,23)-DATEVALUE(업체현황!O80)&gt;=1095,20,IF(DATE(2026,10,23)-DATEVALUE(업체현황!O80)&gt;=730,15,IF(DATE(2026,10,23)-DATEVALUE(업체현황!O80)&gt;=365,10,0)))</f>
        <v/>
      </c>
      <c r="I80">
        <f>IF(업체현황!P80="중대",30,IF(업체현황!P80="경미",15,0))</f>
        <v/>
      </c>
      <c r="J80">
        <f>IF(업체현황!L80="폐업",0,IF(업체현황!L80="휴업",10,0))</f>
        <v/>
      </c>
      <c r="K80">
        <f>SUM(G80:J80)</f>
        <v/>
      </c>
      <c r="L80">
        <f>IF(K80&gt;=70,"고위험",IF(K80&gt;=40,"주의","일반"))</f>
        <v/>
      </c>
      <c r="M80">
        <f>IF(K80&gt;=70,"우선 검토",IF(K80&gt;=40,"모니터링","정기관리"))</f>
        <v/>
      </c>
    </row>
    <row r="81" ht="21" customHeight="1" s="26">
      <c r="A81">
        <f>업체현황!A81</f>
        <v/>
      </c>
      <c r="B81">
        <f>업체현황!B81</f>
        <v/>
      </c>
      <c r="C81">
        <f>업체현황!F81</f>
        <v/>
      </c>
      <c r="D81" s="31">
        <f>SUMIFS(연도별실적!$C$2:$C$401,연도별실적!$A$2:$A$401,A81,연도별실적!$B$2:$B$401,2024)</f>
        <v/>
      </c>
      <c r="E81" s="31">
        <f>SUMIFS(연도별실적!$C$2:$C$401,연도별실적!$A$2:$A$401,A81,연도별실적!$B$2:$B$401,2025)</f>
        <v/>
      </c>
      <c r="F81" s="32">
        <f>IF(D81=0,0,(E81-D81)/D81)</f>
        <v/>
      </c>
      <c r="G81">
        <f>IF(ABS(F81)&gt;=0.6,30,IF(ABS(F81)&gt;=0.35,20,IF(ABS(F81)&gt;=0.2,10,0)))</f>
        <v/>
      </c>
      <c r="H81">
        <f>IF(DATE(2026,10,23)-DATEVALUE(업체현황!O81)&gt;=1095,20,IF(DATE(2026,10,23)-DATEVALUE(업체현황!O81)&gt;=730,15,IF(DATE(2026,10,23)-DATEVALUE(업체현황!O81)&gt;=365,10,0)))</f>
        <v/>
      </c>
      <c r="I81">
        <f>IF(업체현황!P81="중대",30,IF(업체현황!P81="경미",15,0))</f>
        <v/>
      </c>
      <c r="J81">
        <f>IF(업체현황!L81="폐업",0,IF(업체현황!L81="휴업",10,0))</f>
        <v/>
      </c>
      <c r="K81">
        <f>SUM(G81:J81)</f>
        <v/>
      </c>
      <c r="L81">
        <f>IF(K81&gt;=70,"고위험",IF(K81&gt;=40,"주의","일반"))</f>
        <v/>
      </c>
      <c r="M81">
        <f>IF(K81&gt;=70,"우선 검토",IF(K81&gt;=40,"모니터링","정기관리"))</f>
        <v/>
      </c>
    </row>
    <row r="82" ht="21" customHeight="1" s="26">
      <c r="A82">
        <f>업체현황!A82</f>
        <v/>
      </c>
      <c r="B82">
        <f>업체현황!B82</f>
        <v/>
      </c>
      <c r="C82">
        <f>업체현황!F82</f>
        <v/>
      </c>
      <c r="D82" s="31">
        <f>SUMIFS(연도별실적!$C$2:$C$401,연도별실적!$A$2:$A$401,A82,연도별실적!$B$2:$B$401,2024)</f>
        <v/>
      </c>
      <c r="E82" s="31">
        <f>SUMIFS(연도별실적!$C$2:$C$401,연도별실적!$A$2:$A$401,A82,연도별실적!$B$2:$B$401,2025)</f>
        <v/>
      </c>
      <c r="F82" s="32">
        <f>IF(D82=0,0,(E82-D82)/D82)</f>
        <v/>
      </c>
      <c r="G82">
        <f>IF(ABS(F82)&gt;=0.6,30,IF(ABS(F82)&gt;=0.35,20,IF(ABS(F82)&gt;=0.2,10,0)))</f>
        <v/>
      </c>
      <c r="H82">
        <f>IF(DATE(2026,10,23)-DATEVALUE(업체현황!O82)&gt;=1095,20,IF(DATE(2026,10,23)-DATEVALUE(업체현황!O82)&gt;=730,15,IF(DATE(2026,10,23)-DATEVALUE(업체현황!O82)&gt;=365,10,0)))</f>
        <v/>
      </c>
      <c r="I82">
        <f>IF(업체현황!P82="중대",30,IF(업체현황!P82="경미",15,0))</f>
        <v/>
      </c>
      <c r="J82">
        <f>IF(업체현황!L82="폐업",0,IF(업체현황!L82="휴업",10,0))</f>
        <v/>
      </c>
      <c r="K82">
        <f>SUM(G82:J82)</f>
        <v/>
      </c>
      <c r="L82">
        <f>IF(K82&gt;=70,"고위험",IF(K82&gt;=40,"주의","일반"))</f>
        <v/>
      </c>
      <c r="M82">
        <f>IF(K82&gt;=70,"우선 검토",IF(K82&gt;=40,"모니터링","정기관리"))</f>
        <v/>
      </c>
    </row>
    <row r="83" ht="21" customHeight="1" s="26">
      <c r="A83">
        <f>업체현황!A83</f>
        <v/>
      </c>
      <c r="B83">
        <f>업체현황!B83</f>
        <v/>
      </c>
      <c r="C83">
        <f>업체현황!F83</f>
        <v/>
      </c>
      <c r="D83" s="31">
        <f>SUMIFS(연도별실적!$C$2:$C$401,연도별실적!$A$2:$A$401,A83,연도별실적!$B$2:$B$401,2024)</f>
        <v/>
      </c>
      <c r="E83" s="31">
        <f>SUMIFS(연도별실적!$C$2:$C$401,연도별실적!$A$2:$A$401,A83,연도별실적!$B$2:$B$401,2025)</f>
        <v/>
      </c>
      <c r="F83" s="32">
        <f>IF(D83=0,0,(E83-D83)/D83)</f>
        <v/>
      </c>
      <c r="G83">
        <f>IF(ABS(F83)&gt;=0.6,30,IF(ABS(F83)&gt;=0.35,20,IF(ABS(F83)&gt;=0.2,10,0)))</f>
        <v/>
      </c>
      <c r="H83">
        <f>IF(DATE(2026,10,23)-DATEVALUE(업체현황!O83)&gt;=1095,20,IF(DATE(2026,10,23)-DATEVALUE(업체현황!O83)&gt;=730,15,IF(DATE(2026,10,23)-DATEVALUE(업체현황!O83)&gt;=365,10,0)))</f>
        <v/>
      </c>
      <c r="I83">
        <f>IF(업체현황!P83="중대",30,IF(업체현황!P83="경미",15,0))</f>
        <v/>
      </c>
      <c r="J83">
        <f>IF(업체현황!L83="폐업",0,IF(업체현황!L83="휴업",10,0))</f>
        <v/>
      </c>
      <c r="K83">
        <f>SUM(G83:J83)</f>
        <v/>
      </c>
      <c r="L83">
        <f>IF(K83&gt;=70,"고위험",IF(K83&gt;=40,"주의","일반"))</f>
        <v/>
      </c>
      <c r="M83">
        <f>IF(K83&gt;=70,"우선 검토",IF(K83&gt;=40,"모니터링","정기관리"))</f>
        <v/>
      </c>
    </row>
    <row r="84" ht="21" customHeight="1" s="26">
      <c r="A84">
        <f>업체현황!A84</f>
        <v/>
      </c>
      <c r="B84">
        <f>업체현황!B84</f>
        <v/>
      </c>
      <c r="C84">
        <f>업체현황!F84</f>
        <v/>
      </c>
      <c r="D84" s="31">
        <f>SUMIFS(연도별실적!$C$2:$C$401,연도별실적!$A$2:$A$401,A84,연도별실적!$B$2:$B$401,2024)</f>
        <v/>
      </c>
      <c r="E84" s="31">
        <f>SUMIFS(연도별실적!$C$2:$C$401,연도별실적!$A$2:$A$401,A84,연도별실적!$B$2:$B$401,2025)</f>
        <v/>
      </c>
      <c r="F84" s="32">
        <f>IF(D84=0,0,(E84-D84)/D84)</f>
        <v/>
      </c>
      <c r="G84">
        <f>IF(ABS(F84)&gt;=0.6,30,IF(ABS(F84)&gt;=0.35,20,IF(ABS(F84)&gt;=0.2,10,0)))</f>
        <v/>
      </c>
      <c r="H84">
        <f>IF(DATE(2026,10,23)-DATEVALUE(업체현황!O84)&gt;=1095,20,IF(DATE(2026,10,23)-DATEVALUE(업체현황!O84)&gt;=730,15,IF(DATE(2026,10,23)-DATEVALUE(업체현황!O84)&gt;=365,10,0)))</f>
        <v/>
      </c>
      <c r="I84">
        <f>IF(업체현황!P84="중대",30,IF(업체현황!P84="경미",15,0))</f>
        <v/>
      </c>
      <c r="J84">
        <f>IF(업체현황!L84="폐업",0,IF(업체현황!L84="휴업",10,0))</f>
        <v/>
      </c>
      <c r="K84">
        <f>SUM(G84:J84)</f>
        <v/>
      </c>
      <c r="L84">
        <f>IF(K84&gt;=70,"고위험",IF(K84&gt;=40,"주의","일반"))</f>
        <v/>
      </c>
      <c r="M84">
        <f>IF(K84&gt;=70,"우선 검토",IF(K84&gt;=40,"모니터링","정기관리"))</f>
        <v/>
      </c>
    </row>
    <row r="85" ht="21" customHeight="1" s="26">
      <c r="A85">
        <f>업체현황!A85</f>
        <v/>
      </c>
      <c r="B85">
        <f>업체현황!B85</f>
        <v/>
      </c>
      <c r="C85">
        <f>업체현황!F85</f>
        <v/>
      </c>
      <c r="D85" s="31">
        <f>SUMIFS(연도별실적!$C$2:$C$401,연도별실적!$A$2:$A$401,A85,연도별실적!$B$2:$B$401,2024)</f>
        <v/>
      </c>
      <c r="E85" s="31">
        <f>SUMIFS(연도별실적!$C$2:$C$401,연도별실적!$A$2:$A$401,A85,연도별실적!$B$2:$B$401,2025)</f>
        <v/>
      </c>
      <c r="F85" s="32">
        <f>IF(D85=0,0,(E85-D85)/D85)</f>
        <v/>
      </c>
      <c r="G85">
        <f>IF(ABS(F85)&gt;=0.6,30,IF(ABS(F85)&gt;=0.35,20,IF(ABS(F85)&gt;=0.2,10,0)))</f>
        <v/>
      </c>
      <c r="H85">
        <f>IF(DATE(2026,10,23)-DATEVALUE(업체현황!O85)&gt;=1095,20,IF(DATE(2026,10,23)-DATEVALUE(업체현황!O85)&gt;=730,15,IF(DATE(2026,10,23)-DATEVALUE(업체현황!O85)&gt;=365,10,0)))</f>
        <v/>
      </c>
      <c r="I85">
        <f>IF(업체현황!P85="중대",30,IF(업체현황!P85="경미",15,0))</f>
        <v/>
      </c>
      <c r="J85">
        <f>IF(업체현황!L85="폐업",0,IF(업체현황!L85="휴업",10,0))</f>
        <v/>
      </c>
      <c r="K85">
        <f>SUM(G85:J85)</f>
        <v/>
      </c>
      <c r="L85">
        <f>IF(K85&gt;=70,"고위험",IF(K85&gt;=40,"주의","일반"))</f>
        <v/>
      </c>
      <c r="M85">
        <f>IF(K85&gt;=70,"우선 검토",IF(K85&gt;=40,"모니터링","정기관리"))</f>
        <v/>
      </c>
    </row>
    <row r="86" ht="21" customHeight="1" s="26">
      <c r="A86">
        <f>업체현황!A86</f>
        <v/>
      </c>
      <c r="B86">
        <f>업체현황!B86</f>
        <v/>
      </c>
      <c r="C86">
        <f>업체현황!F86</f>
        <v/>
      </c>
      <c r="D86" s="31">
        <f>SUMIFS(연도별실적!$C$2:$C$401,연도별실적!$A$2:$A$401,A86,연도별실적!$B$2:$B$401,2024)</f>
        <v/>
      </c>
      <c r="E86" s="31">
        <f>SUMIFS(연도별실적!$C$2:$C$401,연도별실적!$A$2:$A$401,A86,연도별실적!$B$2:$B$401,2025)</f>
        <v/>
      </c>
      <c r="F86" s="32">
        <f>IF(D86=0,0,(E86-D86)/D86)</f>
        <v/>
      </c>
      <c r="G86">
        <f>IF(ABS(F86)&gt;=0.6,30,IF(ABS(F86)&gt;=0.35,20,IF(ABS(F86)&gt;=0.2,10,0)))</f>
        <v/>
      </c>
      <c r="H86">
        <f>IF(DATE(2026,10,23)-DATEVALUE(업체현황!O86)&gt;=1095,20,IF(DATE(2026,10,23)-DATEVALUE(업체현황!O86)&gt;=730,15,IF(DATE(2026,10,23)-DATEVALUE(업체현황!O86)&gt;=365,10,0)))</f>
        <v/>
      </c>
      <c r="I86">
        <f>IF(업체현황!P86="중대",30,IF(업체현황!P86="경미",15,0))</f>
        <v/>
      </c>
      <c r="J86">
        <f>IF(업체현황!L86="폐업",0,IF(업체현황!L86="휴업",10,0))</f>
        <v/>
      </c>
      <c r="K86">
        <f>SUM(G86:J86)</f>
        <v/>
      </c>
      <c r="L86">
        <f>IF(K86&gt;=70,"고위험",IF(K86&gt;=40,"주의","일반"))</f>
        <v/>
      </c>
      <c r="M86">
        <f>IF(K86&gt;=70,"우선 검토",IF(K86&gt;=40,"모니터링","정기관리"))</f>
        <v/>
      </c>
    </row>
    <row r="87" ht="21" customHeight="1" s="26">
      <c r="A87">
        <f>업체현황!A87</f>
        <v/>
      </c>
      <c r="B87">
        <f>업체현황!B87</f>
        <v/>
      </c>
      <c r="C87">
        <f>업체현황!F87</f>
        <v/>
      </c>
      <c r="D87" s="31">
        <f>SUMIFS(연도별실적!$C$2:$C$401,연도별실적!$A$2:$A$401,A87,연도별실적!$B$2:$B$401,2024)</f>
        <v/>
      </c>
      <c r="E87" s="31">
        <f>SUMIFS(연도별실적!$C$2:$C$401,연도별실적!$A$2:$A$401,A87,연도별실적!$B$2:$B$401,2025)</f>
        <v/>
      </c>
      <c r="F87" s="32">
        <f>IF(D87=0,0,(E87-D87)/D87)</f>
        <v/>
      </c>
      <c r="G87">
        <f>IF(ABS(F87)&gt;=0.6,30,IF(ABS(F87)&gt;=0.35,20,IF(ABS(F87)&gt;=0.2,10,0)))</f>
        <v/>
      </c>
      <c r="H87">
        <f>IF(DATE(2026,10,23)-DATEVALUE(업체현황!O87)&gt;=1095,20,IF(DATE(2026,10,23)-DATEVALUE(업체현황!O87)&gt;=730,15,IF(DATE(2026,10,23)-DATEVALUE(업체현황!O87)&gt;=365,10,0)))</f>
        <v/>
      </c>
      <c r="I87">
        <f>IF(업체현황!P87="중대",30,IF(업체현황!P87="경미",15,0))</f>
        <v/>
      </c>
      <c r="J87">
        <f>IF(업체현황!L87="폐업",0,IF(업체현황!L87="휴업",10,0))</f>
        <v/>
      </c>
      <c r="K87">
        <f>SUM(G87:J87)</f>
        <v/>
      </c>
      <c r="L87">
        <f>IF(K87&gt;=70,"고위험",IF(K87&gt;=40,"주의","일반"))</f>
        <v/>
      </c>
      <c r="M87">
        <f>IF(K87&gt;=70,"우선 검토",IF(K87&gt;=40,"모니터링","정기관리"))</f>
        <v/>
      </c>
    </row>
    <row r="88" ht="21" customHeight="1" s="26">
      <c r="A88">
        <f>업체현황!A88</f>
        <v/>
      </c>
      <c r="B88">
        <f>업체현황!B88</f>
        <v/>
      </c>
      <c r="C88">
        <f>업체현황!F88</f>
        <v/>
      </c>
      <c r="D88" s="31">
        <f>SUMIFS(연도별실적!$C$2:$C$401,연도별실적!$A$2:$A$401,A88,연도별실적!$B$2:$B$401,2024)</f>
        <v/>
      </c>
      <c r="E88" s="31">
        <f>SUMIFS(연도별실적!$C$2:$C$401,연도별실적!$A$2:$A$401,A88,연도별실적!$B$2:$B$401,2025)</f>
        <v/>
      </c>
      <c r="F88" s="32">
        <f>IF(D88=0,0,(E88-D88)/D88)</f>
        <v/>
      </c>
      <c r="G88">
        <f>IF(ABS(F88)&gt;=0.6,30,IF(ABS(F88)&gt;=0.35,20,IF(ABS(F88)&gt;=0.2,10,0)))</f>
        <v/>
      </c>
      <c r="H88">
        <f>IF(DATE(2026,10,23)-DATEVALUE(업체현황!O88)&gt;=1095,20,IF(DATE(2026,10,23)-DATEVALUE(업체현황!O88)&gt;=730,15,IF(DATE(2026,10,23)-DATEVALUE(업체현황!O88)&gt;=365,10,0)))</f>
        <v/>
      </c>
      <c r="I88">
        <f>IF(업체현황!P88="중대",30,IF(업체현황!P88="경미",15,0))</f>
        <v/>
      </c>
      <c r="J88">
        <f>IF(업체현황!L88="폐업",0,IF(업체현황!L88="휴업",10,0))</f>
        <v/>
      </c>
      <c r="K88">
        <f>SUM(G88:J88)</f>
        <v/>
      </c>
      <c r="L88">
        <f>IF(K88&gt;=70,"고위험",IF(K88&gt;=40,"주의","일반"))</f>
        <v/>
      </c>
      <c r="M88">
        <f>IF(K88&gt;=70,"우선 검토",IF(K88&gt;=40,"모니터링","정기관리"))</f>
        <v/>
      </c>
    </row>
    <row r="89" ht="21" customHeight="1" s="26">
      <c r="A89">
        <f>업체현황!A89</f>
        <v/>
      </c>
      <c r="B89">
        <f>업체현황!B89</f>
        <v/>
      </c>
      <c r="C89">
        <f>업체현황!F89</f>
        <v/>
      </c>
      <c r="D89" s="31">
        <f>SUMIFS(연도별실적!$C$2:$C$401,연도별실적!$A$2:$A$401,A89,연도별실적!$B$2:$B$401,2024)</f>
        <v/>
      </c>
      <c r="E89" s="31">
        <f>SUMIFS(연도별실적!$C$2:$C$401,연도별실적!$A$2:$A$401,A89,연도별실적!$B$2:$B$401,2025)</f>
        <v/>
      </c>
      <c r="F89" s="32">
        <f>IF(D89=0,0,(E89-D89)/D89)</f>
        <v/>
      </c>
      <c r="G89">
        <f>IF(ABS(F89)&gt;=0.6,30,IF(ABS(F89)&gt;=0.35,20,IF(ABS(F89)&gt;=0.2,10,0)))</f>
        <v/>
      </c>
      <c r="H89">
        <f>IF(DATE(2026,10,23)-DATEVALUE(업체현황!O89)&gt;=1095,20,IF(DATE(2026,10,23)-DATEVALUE(업체현황!O89)&gt;=730,15,IF(DATE(2026,10,23)-DATEVALUE(업체현황!O89)&gt;=365,10,0)))</f>
        <v/>
      </c>
      <c r="I89">
        <f>IF(업체현황!P89="중대",30,IF(업체현황!P89="경미",15,0))</f>
        <v/>
      </c>
      <c r="J89">
        <f>IF(업체현황!L89="폐업",0,IF(업체현황!L89="휴업",10,0))</f>
        <v/>
      </c>
      <c r="K89">
        <f>SUM(G89:J89)</f>
        <v/>
      </c>
      <c r="L89">
        <f>IF(K89&gt;=70,"고위험",IF(K89&gt;=40,"주의","일반"))</f>
        <v/>
      </c>
      <c r="M89">
        <f>IF(K89&gt;=70,"우선 검토",IF(K89&gt;=40,"모니터링","정기관리"))</f>
        <v/>
      </c>
    </row>
    <row r="90" ht="21" customHeight="1" s="26">
      <c r="A90">
        <f>업체현황!A90</f>
        <v/>
      </c>
      <c r="B90">
        <f>업체현황!B90</f>
        <v/>
      </c>
      <c r="C90">
        <f>업체현황!F90</f>
        <v/>
      </c>
      <c r="D90" s="31">
        <f>SUMIFS(연도별실적!$C$2:$C$401,연도별실적!$A$2:$A$401,A90,연도별실적!$B$2:$B$401,2024)</f>
        <v/>
      </c>
      <c r="E90" s="31">
        <f>SUMIFS(연도별실적!$C$2:$C$401,연도별실적!$A$2:$A$401,A90,연도별실적!$B$2:$B$401,2025)</f>
        <v/>
      </c>
      <c r="F90" s="32">
        <f>IF(D90=0,0,(E90-D90)/D90)</f>
        <v/>
      </c>
      <c r="G90">
        <f>IF(ABS(F90)&gt;=0.6,30,IF(ABS(F90)&gt;=0.35,20,IF(ABS(F90)&gt;=0.2,10,0)))</f>
        <v/>
      </c>
      <c r="H90">
        <f>IF(DATE(2026,10,23)-DATEVALUE(업체현황!O90)&gt;=1095,20,IF(DATE(2026,10,23)-DATEVALUE(업체현황!O90)&gt;=730,15,IF(DATE(2026,10,23)-DATEVALUE(업체현황!O90)&gt;=365,10,0)))</f>
        <v/>
      </c>
      <c r="I90">
        <f>IF(업체현황!P90="중대",30,IF(업체현황!P90="경미",15,0))</f>
        <v/>
      </c>
      <c r="J90">
        <f>IF(업체현황!L90="폐업",0,IF(업체현황!L90="휴업",10,0))</f>
        <v/>
      </c>
      <c r="K90">
        <f>SUM(G90:J90)</f>
        <v/>
      </c>
      <c r="L90">
        <f>IF(K90&gt;=70,"고위험",IF(K90&gt;=40,"주의","일반"))</f>
        <v/>
      </c>
      <c r="M90">
        <f>IF(K90&gt;=70,"우선 검토",IF(K90&gt;=40,"모니터링","정기관리"))</f>
        <v/>
      </c>
    </row>
    <row r="91" ht="21" customHeight="1" s="26">
      <c r="A91">
        <f>업체현황!A91</f>
        <v/>
      </c>
      <c r="B91">
        <f>업체현황!B91</f>
        <v/>
      </c>
      <c r="C91">
        <f>업체현황!F91</f>
        <v/>
      </c>
      <c r="D91" s="31">
        <f>SUMIFS(연도별실적!$C$2:$C$401,연도별실적!$A$2:$A$401,A91,연도별실적!$B$2:$B$401,2024)</f>
        <v/>
      </c>
      <c r="E91" s="31">
        <f>SUMIFS(연도별실적!$C$2:$C$401,연도별실적!$A$2:$A$401,A91,연도별실적!$B$2:$B$401,2025)</f>
        <v/>
      </c>
      <c r="F91" s="32">
        <f>IF(D91=0,0,(E91-D91)/D91)</f>
        <v/>
      </c>
      <c r="G91">
        <f>IF(ABS(F91)&gt;=0.6,30,IF(ABS(F91)&gt;=0.35,20,IF(ABS(F91)&gt;=0.2,10,0)))</f>
        <v/>
      </c>
      <c r="H91">
        <f>IF(DATE(2026,10,23)-DATEVALUE(업체현황!O91)&gt;=1095,20,IF(DATE(2026,10,23)-DATEVALUE(업체현황!O91)&gt;=730,15,IF(DATE(2026,10,23)-DATEVALUE(업체현황!O91)&gt;=365,10,0)))</f>
        <v/>
      </c>
      <c r="I91">
        <f>IF(업체현황!P91="중대",30,IF(업체현황!P91="경미",15,0))</f>
        <v/>
      </c>
      <c r="J91">
        <f>IF(업체현황!L91="폐업",0,IF(업체현황!L91="휴업",10,0))</f>
        <v/>
      </c>
      <c r="K91">
        <f>SUM(G91:J91)</f>
        <v/>
      </c>
      <c r="L91">
        <f>IF(K91&gt;=70,"고위험",IF(K91&gt;=40,"주의","일반"))</f>
        <v/>
      </c>
      <c r="M91">
        <f>IF(K91&gt;=70,"우선 검토",IF(K91&gt;=40,"모니터링","정기관리"))</f>
        <v/>
      </c>
    </row>
    <row r="92" ht="21" customHeight="1" s="26">
      <c r="A92">
        <f>업체현황!A92</f>
        <v/>
      </c>
      <c r="B92">
        <f>업체현황!B92</f>
        <v/>
      </c>
      <c r="C92">
        <f>업체현황!F92</f>
        <v/>
      </c>
      <c r="D92" s="31">
        <f>SUMIFS(연도별실적!$C$2:$C$401,연도별실적!$A$2:$A$401,A92,연도별실적!$B$2:$B$401,2024)</f>
        <v/>
      </c>
      <c r="E92" s="31">
        <f>SUMIFS(연도별실적!$C$2:$C$401,연도별실적!$A$2:$A$401,A92,연도별실적!$B$2:$B$401,2025)</f>
        <v/>
      </c>
      <c r="F92" s="32">
        <f>IF(D92=0,0,(E92-D92)/D92)</f>
        <v/>
      </c>
      <c r="G92">
        <f>IF(ABS(F92)&gt;=0.6,30,IF(ABS(F92)&gt;=0.35,20,IF(ABS(F92)&gt;=0.2,10,0)))</f>
        <v/>
      </c>
      <c r="H92">
        <f>IF(DATE(2026,10,23)-DATEVALUE(업체현황!O92)&gt;=1095,20,IF(DATE(2026,10,23)-DATEVALUE(업체현황!O92)&gt;=730,15,IF(DATE(2026,10,23)-DATEVALUE(업체현황!O92)&gt;=365,10,0)))</f>
        <v/>
      </c>
      <c r="I92">
        <f>IF(업체현황!P92="중대",30,IF(업체현황!P92="경미",15,0))</f>
        <v/>
      </c>
      <c r="J92">
        <f>IF(업체현황!L92="폐업",0,IF(업체현황!L92="휴업",10,0))</f>
        <v/>
      </c>
      <c r="K92">
        <f>SUM(G92:J92)</f>
        <v/>
      </c>
      <c r="L92">
        <f>IF(K92&gt;=70,"고위험",IF(K92&gt;=40,"주의","일반"))</f>
        <v/>
      </c>
      <c r="M92">
        <f>IF(K92&gt;=70,"우선 검토",IF(K92&gt;=40,"모니터링","정기관리"))</f>
        <v/>
      </c>
    </row>
    <row r="93" ht="21" customHeight="1" s="26">
      <c r="A93">
        <f>업체현황!A93</f>
        <v/>
      </c>
      <c r="B93">
        <f>업체현황!B93</f>
        <v/>
      </c>
      <c r="C93">
        <f>업체현황!F93</f>
        <v/>
      </c>
      <c r="D93" s="31">
        <f>SUMIFS(연도별실적!$C$2:$C$401,연도별실적!$A$2:$A$401,A93,연도별실적!$B$2:$B$401,2024)</f>
        <v/>
      </c>
      <c r="E93" s="31">
        <f>SUMIFS(연도별실적!$C$2:$C$401,연도별실적!$A$2:$A$401,A93,연도별실적!$B$2:$B$401,2025)</f>
        <v/>
      </c>
      <c r="F93" s="32">
        <f>IF(D93=0,0,(E93-D93)/D93)</f>
        <v/>
      </c>
      <c r="G93">
        <f>IF(ABS(F93)&gt;=0.6,30,IF(ABS(F93)&gt;=0.35,20,IF(ABS(F93)&gt;=0.2,10,0)))</f>
        <v/>
      </c>
      <c r="H93">
        <f>IF(DATE(2026,10,23)-DATEVALUE(업체현황!O93)&gt;=1095,20,IF(DATE(2026,10,23)-DATEVALUE(업체현황!O93)&gt;=730,15,IF(DATE(2026,10,23)-DATEVALUE(업체현황!O93)&gt;=365,10,0)))</f>
        <v/>
      </c>
      <c r="I93">
        <f>IF(업체현황!P93="중대",30,IF(업체현황!P93="경미",15,0))</f>
        <v/>
      </c>
      <c r="J93">
        <f>IF(업체현황!L93="폐업",0,IF(업체현황!L93="휴업",10,0))</f>
        <v/>
      </c>
      <c r="K93">
        <f>SUM(G93:J93)</f>
        <v/>
      </c>
      <c r="L93">
        <f>IF(K93&gt;=70,"고위험",IF(K93&gt;=40,"주의","일반"))</f>
        <v/>
      </c>
      <c r="M93">
        <f>IF(K93&gt;=70,"우선 검토",IF(K93&gt;=40,"모니터링","정기관리"))</f>
        <v/>
      </c>
    </row>
    <row r="94" ht="21" customHeight="1" s="26">
      <c r="A94">
        <f>업체현황!A94</f>
        <v/>
      </c>
      <c r="B94">
        <f>업체현황!B94</f>
        <v/>
      </c>
      <c r="C94">
        <f>업체현황!F94</f>
        <v/>
      </c>
      <c r="D94" s="31">
        <f>SUMIFS(연도별실적!$C$2:$C$401,연도별실적!$A$2:$A$401,A94,연도별실적!$B$2:$B$401,2024)</f>
        <v/>
      </c>
      <c r="E94" s="31">
        <f>SUMIFS(연도별실적!$C$2:$C$401,연도별실적!$A$2:$A$401,A94,연도별실적!$B$2:$B$401,2025)</f>
        <v/>
      </c>
      <c r="F94" s="32">
        <f>IF(D94=0,0,(E94-D94)/D94)</f>
        <v/>
      </c>
      <c r="G94">
        <f>IF(ABS(F94)&gt;=0.6,30,IF(ABS(F94)&gt;=0.35,20,IF(ABS(F94)&gt;=0.2,10,0)))</f>
        <v/>
      </c>
      <c r="H94">
        <f>IF(DATE(2026,10,23)-DATEVALUE(업체현황!O94)&gt;=1095,20,IF(DATE(2026,10,23)-DATEVALUE(업체현황!O94)&gt;=730,15,IF(DATE(2026,10,23)-DATEVALUE(업체현황!O94)&gt;=365,10,0)))</f>
        <v/>
      </c>
      <c r="I94">
        <f>IF(업체현황!P94="중대",30,IF(업체현황!P94="경미",15,0))</f>
        <v/>
      </c>
      <c r="J94">
        <f>IF(업체현황!L94="폐업",0,IF(업체현황!L94="휴업",10,0))</f>
        <v/>
      </c>
      <c r="K94">
        <f>SUM(G94:J94)</f>
        <v/>
      </c>
      <c r="L94">
        <f>IF(K94&gt;=70,"고위험",IF(K94&gt;=40,"주의","일반"))</f>
        <v/>
      </c>
      <c r="M94">
        <f>IF(K94&gt;=70,"우선 검토",IF(K94&gt;=40,"모니터링","정기관리"))</f>
        <v/>
      </c>
    </row>
    <row r="95" ht="21" customHeight="1" s="26">
      <c r="A95">
        <f>업체현황!A95</f>
        <v/>
      </c>
      <c r="B95">
        <f>업체현황!B95</f>
        <v/>
      </c>
      <c r="C95">
        <f>업체현황!F95</f>
        <v/>
      </c>
      <c r="D95" s="31">
        <f>SUMIFS(연도별실적!$C$2:$C$401,연도별실적!$A$2:$A$401,A95,연도별실적!$B$2:$B$401,2024)</f>
        <v/>
      </c>
      <c r="E95" s="31">
        <f>SUMIFS(연도별실적!$C$2:$C$401,연도별실적!$A$2:$A$401,A95,연도별실적!$B$2:$B$401,2025)</f>
        <v/>
      </c>
      <c r="F95" s="32">
        <f>IF(D95=0,0,(E95-D95)/D95)</f>
        <v/>
      </c>
      <c r="G95">
        <f>IF(ABS(F95)&gt;=0.6,30,IF(ABS(F95)&gt;=0.35,20,IF(ABS(F95)&gt;=0.2,10,0)))</f>
        <v/>
      </c>
      <c r="H95">
        <f>IF(DATE(2026,10,23)-DATEVALUE(업체현황!O95)&gt;=1095,20,IF(DATE(2026,10,23)-DATEVALUE(업체현황!O95)&gt;=730,15,IF(DATE(2026,10,23)-DATEVALUE(업체현황!O95)&gt;=365,10,0)))</f>
        <v/>
      </c>
      <c r="I95">
        <f>IF(업체현황!P95="중대",30,IF(업체현황!P95="경미",15,0))</f>
        <v/>
      </c>
      <c r="J95">
        <f>IF(업체현황!L95="폐업",0,IF(업체현황!L95="휴업",10,0))</f>
        <v/>
      </c>
      <c r="K95">
        <f>SUM(G95:J95)</f>
        <v/>
      </c>
      <c r="L95">
        <f>IF(K95&gt;=70,"고위험",IF(K95&gt;=40,"주의","일반"))</f>
        <v/>
      </c>
      <c r="M95">
        <f>IF(K95&gt;=70,"우선 검토",IF(K95&gt;=40,"모니터링","정기관리"))</f>
        <v/>
      </c>
    </row>
    <row r="96" ht="21" customHeight="1" s="26">
      <c r="A96">
        <f>업체현황!A96</f>
        <v/>
      </c>
      <c r="B96">
        <f>업체현황!B96</f>
        <v/>
      </c>
      <c r="C96">
        <f>업체현황!F96</f>
        <v/>
      </c>
      <c r="D96" s="31">
        <f>SUMIFS(연도별실적!$C$2:$C$401,연도별실적!$A$2:$A$401,A96,연도별실적!$B$2:$B$401,2024)</f>
        <v/>
      </c>
      <c r="E96" s="31">
        <f>SUMIFS(연도별실적!$C$2:$C$401,연도별실적!$A$2:$A$401,A96,연도별실적!$B$2:$B$401,2025)</f>
        <v/>
      </c>
      <c r="F96" s="32">
        <f>IF(D96=0,0,(E96-D96)/D96)</f>
        <v/>
      </c>
      <c r="G96">
        <f>IF(ABS(F96)&gt;=0.6,30,IF(ABS(F96)&gt;=0.35,20,IF(ABS(F96)&gt;=0.2,10,0)))</f>
        <v/>
      </c>
      <c r="H96">
        <f>IF(DATE(2026,10,23)-DATEVALUE(업체현황!O96)&gt;=1095,20,IF(DATE(2026,10,23)-DATEVALUE(업체현황!O96)&gt;=730,15,IF(DATE(2026,10,23)-DATEVALUE(업체현황!O96)&gt;=365,10,0)))</f>
        <v/>
      </c>
      <c r="I96">
        <f>IF(업체현황!P96="중대",30,IF(업체현황!P96="경미",15,0))</f>
        <v/>
      </c>
      <c r="J96">
        <f>IF(업체현황!L96="폐업",0,IF(업체현황!L96="휴업",10,0))</f>
        <v/>
      </c>
      <c r="K96">
        <f>SUM(G96:J96)</f>
        <v/>
      </c>
      <c r="L96">
        <f>IF(K96&gt;=70,"고위험",IF(K96&gt;=40,"주의","일반"))</f>
        <v/>
      </c>
      <c r="M96">
        <f>IF(K96&gt;=70,"우선 검토",IF(K96&gt;=40,"모니터링","정기관리"))</f>
        <v/>
      </c>
    </row>
    <row r="97" ht="21" customHeight="1" s="26">
      <c r="A97">
        <f>업체현황!A97</f>
        <v/>
      </c>
      <c r="B97">
        <f>업체현황!B97</f>
        <v/>
      </c>
      <c r="C97">
        <f>업체현황!F97</f>
        <v/>
      </c>
      <c r="D97" s="31">
        <f>SUMIFS(연도별실적!$C$2:$C$401,연도별실적!$A$2:$A$401,A97,연도별실적!$B$2:$B$401,2024)</f>
        <v/>
      </c>
      <c r="E97" s="31">
        <f>SUMIFS(연도별실적!$C$2:$C$401,연도별실적!$A$2:$A$401,A97,연도별실적!$B$2:$B$401,2025)</f>
        <v/>
      </c>
      <c r="F97" s="32">
        <f>IF(D97=0,0,(E97-D97)/D97)</f>
        <v/>
      </c>
      <c r="G97">
        <f>IF(ABS(F97)&gt;=0.6,30,IF(ABS(F97)&gt;=0.35,20,IF(ABS(F97)&gt;=0.2,10,0)))</f>
        <v/>
      </c>
      <c r="H97">
        <f>IF(DATE(2026,10,23)-DATEVALUE(업체현황!O97)&gt;=1095,20,IF(DATE(2026,10,23)-DATEVALUE(업체현황!O97)&gt;=730,15,IF(DATE(2026,10,23)-DATEVALUE(업체현황!O97)&gt;=365,10,0)))</f>
        <v/>
      </c>
      <c r="I97">
        <f>IF(업체현황!P97="중대",30,IF(업체현황!P97="경미",15,0))</f>
        <v/>
      </c>
      <c r="J97">
        <f>IF(업체현황!L97="폐업",0,IF(업체현황!L97="휴업",10,0))</f>
        <v/>
      </c>
      <c r="K97">
        <f>SUM(G97:J97)</f>
        <v/>
      </c>
      <c r="L97">
        <f>IF(K97&gt;=70,"고위험",IF(K97&gt;=40,"주의","일반"))</f>
        <v/>
      </c>
      <c r="M97">
        <f>IF(K97&gt;=70,"우선 검토",IF(K97&gt;=40,"모니터링","정기관리"))</f>
        <v/>
      </c>
    </row>
    <row r="98" ht="21" customHeight="1" s="26">
      <c r="A98">
        <f>업체현황!A98</f>
        <v/>
      </c>
      <c r="B98">
        <f>업체현황!B98</f>
        <v/>
      </c>
      <c r="C98">
        <f>업체현황!F98</f>
        <v/>
      </c>
      <c r="D98" s="31">
        <f>SUMIFS(연도별실적!$C$2:$C$401,연도별실적!$A$2:$A$401,A98,연도별실적!$B$2:$B$401,2024)</f>
        <v/>
      </c>
      <c r="E98" s="31">
        <f>SUMIFS(연도별실적!$C$2:$C$401,연도별실적!$A$2:$A$401,A98,연도별실적!$B$2:$B$401,2025)</f>
        <v/>
      </c>
      <c r="F98" s="32">
        <f>IF(D98=0,0,(E98-D98)/D98)</f>
        <v/>
      </c>
      <c r="G98">
        <f>IF(ABS(F98)&gt;=0.6,30,IF(ABS(F98)&gt;=0.35,20,IF(ABS(F98)&gt;=0.2,10,0)))</f>
        <v/>
      </c>
      <c r="H98">
        <f>IF(DATE(2026,10,23)-DATEVALUE(업체현황!O98)&gt;=1095,20,IF(DATE(2026,10,23)-DATEVALUE(업체현황!O98)&gt;=730,15,IF(DATE(2026,10,23)-DATEVALUE(업체현황!O98)&gt;=365,10,0)))</f>
        <v/>
      </c>
      <c r="I98">
        <f>IF(업체현황!P98="중대",30,IF(업체현황!P98="경미",15,0))</f>
        <v/>
      </c>
      <c r="J98">
        <f>IF(업체현황!L98="폐업",0,IF(업체현황!L98="휴업",10,0))</f>
        <v/>
      </c>
      <c r="K98">
        <f>SUM(G98:J98)</f>
        <v/>
      </c>
      <c r="L98">
        <f>IF(K98&gt;=70,"고위험",IF(K98&gt;=40,"주의","일반"))</f>
        <v/>
      </c>
      <c r="M98">
        <f>IF(K98&gt;=70,"우선 검토",IF(K98&gt;=40,"모니터링","정기관리"))</f>
        <v/>
      </c>
    </row>
    <row r="99" ht="21" customHeight="1" s="26">
      <c r="A99">
        <f>업체현황!A99</f>
        <v/>
      </c>
      <c r="B99">
        <f>업체현황!B99</f>
        <v/>
      </c>
      <c r="C99">
        <f>업체현황!F99</f>
        <v/>
      </c>
      <c r="D99" s="31">
        <f>SUMIFS(연도별실적!$C$2:$C$401,연도별실적!$A$2:$A$401,A99,연도별실적!$B$2:$B$401,2024)</f>
        <v/>
      </c>
      <c r="E99" s="31">
        <f>SUMIFS(연도별실적!$C$2:$C$401,연도별실적!$A$2:$A$401,A99,연도별실적!$B$2:$B$401,2025)</f>
        <v/>
      </c>
      <c r="F99" s="32">
        <f>IF(D99=0,0,(E99-D99)/D99)</f>
        <v/>
      </c>
      <c r="G99">
        <f>IF(ABS(F99)&gt;=0.6,30,IF(ABS(F99)&gt;=0.35,20,IF(ABS(F99)&gt;=0.2,10,0)))</f>
        <v/>
      </c>
      <c r="H99">
        <f>IF(DATE(2026,10,23)-DATEVALUE(업체현황!O99)&gt;=1095,20,IF(DATE(2026,10,23)-DATEVALUE(업체현황!O99)&gt;=730,15,IF(DATE(2026,10,23)-DATEVALUE(업체현황!O99)&gt;=365,10,0)))</f>
        <v/>
      </c>
      <c r="I99">
        <f>IF(업체현황!P99="중대",30,IF(업체현황!P99="경미",15,0))</f>
        <v/>
      </c>
      <c r="J99">
        <f>IF(업체현황!L99="폐업",0,IF(업체현황!L99="휴업",10,0))</f>
        <v/>
      </c>
      <c r="K99">
        <f>SUM(G99:J99)</f>
        <v/>
      </c>
      <c r="L99">
        <f>IF(K99&gt;=70,"고위험",IF(K99&gt;=40,"주의","일반"))</f>
        <v/>
      </c>
      <c r="M99">
        <f>IF(K99&gt;=70,"우선 검토",IF(K99&gt;=40,"모니터링","정기관리"))</f>
        <v/>
      </c>
    </row>
    <row r="100" ht="21" customHeight="1" s="26">
      <c r="A100">
        <f>업체현황!A100</f>
        <v/>
      </c>
      <c r="B100">
        <f>업체현황!B100</f>
        <v/>
      </c>
      <c r="C100">
        <f>업체현황!F100</f>
        <v/>
      </c>
      <c r="D100" s="31">
        <f>SUMIFS(연도별실적!$C$2:$C$401,연도별실적!$A$2:$A$401,A100,연도별실적!$B$2:$B$401,2024)</f>
        <v/>
      </c>
      <c r="E100" s="31">
        <f>SUMIFS(연도별실적!$C$2:$C$401,연도별실적!$A$2:$A$401,A100,연도별실적!$B$2:$B$401,2025)</f>
        <v/>
      </c>
      <c r="F100" s="32">
        <f>IF(D100=0,0,(E100-D100)/D100)</f>
        <v/>
      </c>
      <c r="G100">
        <f>IF(ABS(F100)&gt;=0.6,30,IF(ABS(F100)&gt;=0.35,20,IF(ABS(F100)&gt;=0.2,10,0)))</f>
        <v/>
      </c>
      <c r="H100">
        <f>IF(DATE(2026,10,23)-DATEVALUE(업체현황!O100)&gt;=1095,20,IF(DATE(2026,10,23)-DATEVALUE(업체현황!O100)&gt;=730,15,IF(DATE(2026,10,23)-DATEVALUE(업체현황!O100)&gt;=365,10,0)))</f>
        <v/>
      </c>
      <c r="I100">
        <f>IF(업체현황!P100="중대",30,IF(업체현황!P100="경미",15,0))</f>
        <v/>
      </c>
      <c r="J100">
        <f>IF(업체현황!L100="폐업",0,IF(업체현황!L100="휴업",10,0))</f>
        <v/>
      </c>
      <c r="K100">
        <f>SUM(G100:J100)</f>
        <v/>
      </c>
      <c r="L100">
        <f>IF(K100&gt;=70,"고위험",IF(K100&gt;=40,"주의","일반"))</f>
        <v/>
      </c>
      <c r="M100">
        <f>IF(K100&gt;=70,"우선 검토",IF(K100&gt;=40,"모니터링","정기관리"))</f>
        <v/>
      </c>
    </row>
    <row r="101" ht="21" customHeight="1" s="26">
      <c r="A101">
        <f>업체현황!A101</f>
        <v/>
      </c>
      <c r="B101">
        <f>업체현황!B101</f>
        <v/>
      </c>
      <c r="C101">
        <f>업체현황!F101</f>
        <v/>
      </c>
      <c r="D101" s="31">
        <f>SUMIFS(연도별실적!$C$2:$C$401,연도별실적!$A$2:$A$401,A101,연도별실적!$B$2:$B$401,2024)</f>
        <v/>
      </c>
      <c r="E101" s="31">
        <f>SUMIFS(연도별실적!$C$2:$C$401,연도별실적!$A$2:$A$401,A101,연도별실적!$B$2:$B$401,2025)</f>
        <v/>
      </c>
      <c r="F101" s="32">
        <f>IF(D101=0,0,(E101-D101)/D101)</f>
        <v/>
      </c>
      <c r="G101">
        <f>IF(ABS(F101)&gt;=0.6,30,IF(ABS(F101)&gt;=0.35,20,IF(ABS(F101)&gt;=0.2,10,0)))</f>
        <v/>
      </c>
      <c r="H101">
        <f>IF(DATE(2026,10,23)-DATEVALUE(업체현황!O101)&gt;=1095,20,IF(DATE(2026,10,23)-DATEVALUE(업체현황!O101)&gt;=730,15,IF(DATE(2026,10,23)-DATEVALUE(업체현황!O101)&gt;=365,10,0)))</f>
        <v/>
      </c>
      <c r="I101">
        <f>IF(업체현황!P101="중대",30,IF(업체현황!P101="경미",15,0))</f>
        <v/>
      </c>
      <c r="J101">
        <f>IF(업체현황!L101="폐업",0,IF(업체현황!L101="휴업",10,0))</f>
        <v/>
      </c>
      <c r="K101">
        <f>SUM(G101:J101)</f>
        <v/>
      </c>
      <c r="L101">
        <f>IF(K101&gt;=70,"고위험",IF(K101&gt;=40,"주의","일반"))</f>
        <v/>
      </c>
      <c r="M101">
        <f>IF(K101&gt;=70,"우선 검토",IF(K101&gt;=40,"모니터링","정기관리"))</f>
        <v/>
      </c>
    </row>
  </sheetData>
  <conditionalFormatting sqref="L2:L101">
    <cfRule type="expression" priority="1" dxfId="1">
      <formula>$L2="고위험"</formula>
    </cfRule>
    <cfRule type="expression" priority="2" dxfId="2">
      <formula>$L2="주의"</formula>
    </cfRule>
    <cfRule type="expression" priority="3" dxfId="3">
      <formula>$L2="일반"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3" customWidth="1" style="26" min="1" max="1"/>
    <col width="23" customWidth="1" style="26" min="2" max="2"/>
    <col width="5" customWidth="1" style="26" min="3" max="3"/>
    <col width="23" customWidth="1" style="26" min="4" max="4"/>
    <col width="21" customWidth="1" style="26" min="5" max="5"/>
  </cols>
  <sheetData>
    <row r="1" ht="42" customHeight="1" s="26">
      <c r="A1" s="17" t="inlineStr">
        <is>
          <t>환전업자 현황 및 위험도 대시보드</t>
        </is>
      </c>
      <c r="B1" s="1" t="n"/>
      <c r="C1" s="1" t="n"/>
      <c r="D1" s="1" t="n"/>
      <c r="E1" s="1" t="n"/>
    </row>
    <row r="3" ht="28" customHeight="1" s="26">
      <c r="A3" s="19" t="inlineStr">
        <is>
          <t>관리지표</t>
        </is>
      </c>
      <c r="B3" s="19" t="inlineStr">
        <is>
          <t>수치</t>
        </is>
      </c>
      <c r="D3" s="19" t="inlineStr">
        <is>
          <t>위험등급</t>
        </is>
      </c>
      <c r="E3" s="19" t="inlineStr">
        <is>
          <t>업체수</t>
        </is>
      </c>
    </row>
    <row r="4">
      <c r="A4" t="inlineStr">
        <is>
          <t>전체 업체</t>
        </is>
      </c>
      <c r="B4" s="31">
        <f>COUNTA(업체현황!A2:A101)</f>
        <v/>
      </c>
      <c r="D4" t="inlineStr">
        <is>
          <t>고위험</t>
        </is>
      </c>
      <c r="E4" s="31">
        <f>COUNTIF(위험도평가!L2:L101,D4)</f>
        <v/>
      </c>
    </row>
    <row r="5">
      <c r="A5" t="inlineStr">
        <is>
          <t>영업중</t>
        </is>
      </c>
      <c r="B5" s="31">
        <f>COUNTIF(업체현황!L2:L101,"영업중")</f>
        <v/>
      </c>
      <c r="D5" t="inlineStr">
        <is>
          <t>주의</t>
        </is>
      </c>
      <c r="E5" s="31">
        <f>COUNTIF(위험도평가!L2:L101,D5)</f>
        <v/>
      </c>
    </row>
    <row r="6">
      <c r="A6" t="inlineStr">
        <is>
          <t>원곡동</t>
        </is>
      </c>
      <c r="B6" s="31">
        <f>COUNTIF(업체현황!F2:F101,"원곡동")</f>
        <v/>
      </c>
      <c r="D6" t="inlineStr">
        <is>
          <t>일반</t>
        </is>
      </c>
      <c r="E6" s="31">
        <f>COUNTIF(위험도평가!L2:L101,D6)</f>
        <v/>
      </c>
    </row>
    <row r="7">
      <c r="A7" t="inlineStr">
        <is>
          <t>정왕시장</t>
        </is>
      </c>
      <c r="B7" s="31">
        <f>COUNTIF(업체현황!F2:F101,"정왕시장")</f>
        <v/>
      </c>
      <c r="E7" s="31" t="n"/>
    </row>
    <row r="8">
      <c r="A8" t="inlineStr">
        <is>
          <t>부천</t>
        </is>
      </c>
      <c r="B8" s="31">
        <f>COUNTIF(업체현황!F2:F101,"부천")</f>
        <v/>
      </c>
      <c r="E8" s="31" t="n"/>
    </row>
    <row r="9" ht="28" customHeight="1" s="26">
      <c r="A9" t="inlineStr">
        <is>
          <t>부평</t>
        </is>
      </c>
      <c r="B9">
        <f>COUNTIF(업체현황!F2:F101,"부평")</f>
        <v/>
      </c>
      <c r="D9" s="19" t="inlineStr">
        <is>
          <t>영업상태</t>
        </is>
      </c>
      <c r="E9" s="33" t="inlineStr">
        <is>
          <t>업체수</t>
        </is>
      </c>
    </row>
    <row r="10">
      <c r="A10" t="inlineStr">
        <is>
          <t>김포</t>
        </is>
      </c>
      <c r="B10">
        <f>COUNTIF(업체현황!F2:F101,"김포")</f>
        <v/>
      </c>
      <c r="D10" t="inlineStr">
        <is>
          <t>영업중</t>
        </is>
      </c>
      <c r="E10" s="31">
        <f>COUNTIF(업체현황!L2:L101,D10)</f>
        <v/>
      </c>
    </row>
    <row r="11" ht="28" customHeight="1" s="26">
      <c r="A11" s="19" t="inlineStr">
        <is>
          <t>실적연도</t>
        </is>
      </c>
      <c r="B11" s="19" t="inlineStr">
        <is>
          <t>전체환전액(만원)</t>
        </is>
      </c>
      <c r="D11" t="inlineStr">
        <is>
          <t>휴업</t>
        </is>
      </c>
      <c r="E11" s="31">
        <f>COUNTIF(업체현황!L2:L101,D11)</f>
        <v/>
      </c>
    </row>
    <row r="12">
      <c r="A12" t="inlineStr">
        <is>
          <t>주소 검증 완료</t>
        </is>
      </c>
      <c r="B12" s="31">
        <f>COUNTIF(업체현황!J2:J101,"검증완료")</f>
        <v/>
      </c>
      <c r="D12" t="inlineStr">
        <is>
          <t>폐업</t>
        </is>
      </c>
      <c r="E12" s="31">
        <f>COUNTIF(업체현황!L2:L101,D12)</f>
        <v/>
      </c>
    </row>
    <row r="13">
      <c r="A13" t="n">
        <v>2023</v>
      </c>
      <c r="B13" s="31">
        <f>SUMIF(연도별실적!B2:B401,A13,연도별실적!C2:C401)</f>
        <v/>
      </c>
    </row>
    <row r="14">
      <c r="A14" t="n">
        <v>2024</v>
      </c>
      <c r="B14" s="31">
        <f>SUMIF(연도별실적!B2:B401,A14,연도별실적!C2:C401)</f>
        <v/>
      </c>
    </row>
    <row r="15">
      <c r="A15" t="n">
        <v>2025</v>
      </c>
      <c r="B15" s="31">
        <f>SUMIF(연도별실적!B2:B401,A15,연도별실적!C2:C401)</f>
        <v/>
      </c>
    </row>
    <row r="16">
      <c r="A16" t="n">
        <v>2026</v>
      </c>
      <c r="B16">
        <f>SUMIF(연도별실적!B2:B401,A16,연도별실적!C2:C401)</f>
        <v/>
      </c>
    </row>
    <row r="18" ht="28" customHeight="1" s="26">
      <c r="A18" s="34" t="inlineStr">
        <is>
          <t>※ 모든 값은 가상의 테스트 데이터이며 실제 환전업자 및 위험도와 무관합니다.</t>
        </is>
      </c>
      <c r="B18" s="1" t="n"/>
      <c r="C18" s="1" t="n"/>
      <c r="D18" s="1" t="n"/>
      <c r="E18" s="1" t="n"/>
    </row>
  </sheetData>
  <mergeCells count="2">
    <mergeCell ref="A1:E1"/>
    <mergeCell ref="A18:E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style="26" min="1" max="1"/>
    <col width="40" customWidth="1" style="26" min="2" max="2"/>
    <col width="38" customWidth="1" style="26" min="3" max="3"/>
    <col width="18" customWidth="1" style="26" min="4" max="4"/>
  </cols>
  <sheetData>
    <row r="1" ht="31" customHeight="1" s="26">
      <c r="A1" s="4" t="inlineStr">
        <is>
          <t>필드</t>
        </is>
      </c>
      <c r="B1" s="4" t="inlineStr">
        <is>
          <t>허용값</t>
        </is>
      </c>
      <c r="C1" s="4" t="inlineStr">
        <is>
          <t>설명</t>
        </is>
      </c>
      <c r="D1" s="4" t="inlineStr">
        <is>
          <t>메모</t>
        </is>
      </c>
    </row>
    <row r="2" ht="21" customHeight="1" s="26">
      <c r="A2" t="inlineStr">
        <is>
          <t>영업상태</t>
        </is>
      </c>
      <c r="B2" t="inlineStr">
        <is>
          <t>영업중 / 휴업 / 폐업</t>
        </is>
      </c>
      <c r="C2" t="inlineStr">
        <is>
          <t>업체 운영 상태</t>
        </is>
      </c>
      <c r="D2" t="inlineStr">
        <is>
          <t>가상</t>
        </is>
      </c>
    </row>
    <row r="3" ht="21" customHeight="1" s="26">
      <c r="A3" t="inlineStr">
        <is>
          <t>위반이력</t>
        </is>
      </c>
      <c r="B3" t="inlineStr">
        <is>
          <t>없음 / 경미 / 중대</t>
        </is>
      </c>
      <c r="C3" t="inlineStr">
        <is>
          <t>위험도 시범 점수용</t>
        </is>
      </c>
      <c r="D3" t="inlineStr">
        <is>
          <t>가상</t>
        </is>
      </c>
    </row>
    <row r="4" ht="21" customHeight="1" s="26">
      <c r="A4" t="inlineStr">
        <is>
          <t>지오코딩상태</t>
        </is>
      </c>
      <c r="B4" t="inlineStr">
        <is>
          <t>미검증 / 검증완료 / 실패</t>
        </is>
      </c>
      <c r="C4" t="inlineStr">
        <is>
          <t>주소→좌표 변환 결과</t>
        </is>
      </c>
      <c r="D4" t="inlineStr">
        <is>
          <t>기본값 미검증</t>
        </is>
      </c>
    </row>
    <row r="5" ht="21" customHeight="1" s="26">
      <c r="A5" t="inlineStr">
        <is>
          <t>위험등급</t>
        </is>
      </c>
      <c r="B5" t="inlineStr">
        <is>
          <t>일반 / 주의 / 고위험</t>
        </is>
      </c>
      <c r="C5" t="inlineStr">
        <is>
          <t>평가 시트 산출값</t>
        </is>
      </c>
      <c r="D5" t="inlineStr">
        <is>
          <t>가상 규칙</t>
        </is>
      </c>
    </row>
    <row r="6" ht="21" customHeight="1" s="26">
      <c r="A6" t="inlineStr">
        <is>
          <t>점검구분</t>
        </is>
      </c>
      <c r="B6" t="inlineStr">
        <is>
          <t>정기 / 수시 / 서면</t>
        </is>
      </c>
      <c r="C6" t="inlineStr">
        <is>
          <t>점검 유형</t>
        </is>
      </c>
      <c r="D6" t="inlineStr">
        <is>
          <t>가상</t>
        </is>
      </c>
    </row>
    <row r="7" ht="21" customHeight="1" s="26">
      <c r="A7" t="inlineStr">
        <is>
          <t>후속조치</t>
        </is>
      </c>
      <c r="B7" t="inlineStr">
        <is>
          <t>종결 / 보완완료 / 조치중 / 추가확인</t>
        </is>
      </c>
      <c r="C7" t="inlineStr">
        <is>
          <t>점검 결과 처리</t>
        </is>
      </c>
      <c r="D7" t="inlineStr">
        <is>
          <t>가상</t>
        </is>
      </c>
    </row>
    <row r="8" ht="21" customHeight="1" s="26">
      <c r="A8" t="inlineStr">
        <is>
          <t>실적연도</t>
        </is>
      </c>
      <c r="B8" t="inlineStr">
        <is>
          <t>2023 / 2024 / 2025 / 2026</t>
        </is>
      </c>
      <c r="C8" t="inlineStr">
        <is>
          <t>2026은 1~3분기만</t>
        </is>
      </c>
      <c r="D8" t="inlineStr">
        <is>
          <t>모의</t>
        </is>
      </c>
    </row>
    <row r="9" ht="21" customHeight="1" s="26">
      <c r="A9" t="inlineStr">
        <is>
          <t>식별키</t>
        </is>
      </c>
      <c r="B9" t="inlineStr">
        <is>
          <t>EXA-0001 ~ EXA-0100</t>
        </is>
      </c>
      <c r="C9" t="inlineStr">
        <is>
          <t>시트 연결용 ID</t>
        </is>
      </c>
      <c r="D9" t="inlineStr">
        <is>
          <t>고유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style="26" min="1" max="1"/>
    <col width="95" customWidth="1" style="26" min="2" max="2"/>
  </cols>
  <sheetData>
    <row r="1">
      <c r="A1" s="29" t="inlineStr">
        <is>
          <t>항목</t>
        </is>
      </c>
      <c r="B1" s="29" t="inlineStr">
        <is>
          <t>설명</t>
        </is>
      </c>
    </row>
    <row r="2">
      <c r="A2" t="inlineStr">
        <is>
          <t>주소의 성격</t>
        </is>
      </c>
      <c r="B2" s="30" t="inlineStr">
        <is>
          <t>실제 분포 감각을 보여주기 위한 시연용 가상 주소. 지역별 대표 상권/생활도로를 기준으로 생성</t>
        </is>
      </c>
    </row>
    <row r="3">
      <c r="A3" t="inlineStr">
        <is>
          <t>지역 범위</t>
        </is>
      </c>
      <c r="B3" s="30" t="inlineStr">
        <is>
          <t>안산 원곡동 38 / 시흥 정왕시장 24 / 부천 23 / 부평 10 / 김포 4 / 계양 1</t>
        </is>
      </c>
    </row>
    <row r="4">
      <c r="A4" t="inlineStr">
        <is>
          <t>가상 업체 수</t>
        </is>
      </c>
      <c r="B4" s="30" t="inlineStr">
        <is>
          <t>100개 업체의 상호·대표자·실적·위험도 등은 기존과 동일</t>
        </is>
      </c>
    </row>
    <row r="5">
      <c r="A5" t="inlineStr">
        <is>
          <t>중복 주소</t>
        </is>
      </c>
      <c r="B5" s="30" t="inlineStr">
        <is>
          <t>각 권역 내 여러 도로명으로 분산했으나, 실제 환전소 위치와 일치하지 않는 시연용 주소임</t>
        </is>
      </c>
    </row>
    <row r="6">
      <c r="A6" t="inlineStr">
        <is>
          <t>좌표 입력</t>
        </is>
      </c>
      <c r="B6" s="30" t="inlineStr">
        <is>
          <t>위도·경도는 공란. FXGIS에서 미확인 주소 변환 실행</t>
        </is>
      </c>
    </row>
    <row r="7">
      <c r="A7" t="inlineStr">
        <is>
          <t>권역 기준</t>
        </is>
      </c>
      <c r="B7" s="30" t="inlineStr">
        <is>
          <t>원곡동·정왕시장 중심 / 부천·부평·김포·계양 권역 분포 반영</t>
        </is>
      </c>
    </row>
    <row r="8">
      <c r="A8" t="inlineStr">
        <is>
          <t>비고</t>
        </is>
      </c>
      <c r="B8" s="30" t="inlineStr">
        <is>
          <t>실제 업체명·대표자·실적·위험도는 모두 가상. 주소는 분포 시연용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2026-10-24T12:42:16Z</dcterms:created>
  <dcterms:modified xmlns:dcterms="http://purl.org/dc/terms/" xmlns:xsi="http://www.w3.org/2001/XMLSchema-instance" xsi:type="dcterms:W3CDTF">2026-10-24T12:42:16Z</dcterms:modified>
</cp:coreProperties>
</file>